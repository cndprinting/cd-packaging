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DMGR\Desktop\"/>
    </mc:Choice>
  </mc:AlternateContent>
  <xr:revisionPtr revIDLastSave="0" documentId="8_{C7719ED7-04F1-4502-96A9-7C25443A43A4}" xr6:coauthVersionLast="47" xr6:coauthVersionMax="47" xr10:uidLastSave="{00000000-0000-0000-0000-000000000000}"/>
  <bookViews>
    <workbookView xWindow="-120" yWindow="-120" windowWidth="29040" windowHeight="15840" xr2:uid="{12A0E93B-CD08-456C-A19F-5816989C4882}"/>
  </bookViews>
  <sheets>
    <sheet name="Wafer seal Calculator" sheetId="1" r:id="rId1"/>
  </sheets>
  <externalReferences>
    <externalReference r:id="rId2"/>
  </externalReferences>
  <definedNames>
    <definedName name="PaperOUT">'[1]INV Paper IN_OUT FORM'!$H$3:$H$5434</definedName>
    <definedName name="TYPECode">'[1]INV Paper IN_OUT FORM'!$A$3:$A$5916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N8" i="1" s="1"/>
  <c r="J8" i="1"/>
  <c r="L8" i="1" s="1"/>
  <c r="I8" i="1"/>
  <c r="M7" i="1"/>
  <c r="K7" i="1"/>
  <c r="N7" i="1" s="1"/>
  <c r="J7" i="1"/>
  <c r="L7" i="1" s="1"/>
  <c r="I7" i="1"/>
  <c r="K6" i="1"/>
  <c r="N6" i="1" s="1"/>
  <c r="J6" i="1"/>
  <c r="I6" i="1"/>
  <c r="L6" i="1" s="1"/>
  <c r="M5" i="1"/>
  <c r="K5" i="1"/>
  <c r="N5" i="1" s="1"/>
  <c r="J5" i="1"/>
  <c r="L5" i="1" s="1"/>
  <c r="I5" i="1"/>
  <c r="K4" i="1"/>
  <c r="N4" i="1" s="1"/>
  <c r="J4" i="1"/>
  <c r="I4" i="1"/>
  <c r="L4" i="1" s="1"/>
  <c r="M3" i="1"/>
  <c r="K3" i="1"/>
  <c r="N3" i="1" s="1"/>
  <c r="J3" i="1"/>
  <c r="L3" i="1" s="1"/>
  <c r="I3" i="1"/>
  <c r="M4" i="1" l="1"/>
  <c r="M6" i="1"/>
  <c r="M8" i="1"/>
</calcChain>
</file>

<file path=xl/sharedStrings.xml><?xml version="1.0" encoding="utf-8"?>
<sst xmlns="http://schemas.openxmlformats.org/spreadsheetml/2006/main" count="27" uniqueCount="17">
  <si>
    <t>SECAP - Inkjet / Wafer Seals</t>
  </si>
  <si>
    <t>Department</t>
  </si>
  <si>
    <t>QTY</t>
  </si>
  <si>
    <t>No. Tabs</t>
  </si>
  <si>
    <t>Set-up $</t>
  </si>
  <si>
    <t>Per Tab $</t>
  </si>
  <si>
    <t>Per hour Rate</t>
  </si>
  <si>
    <t>Ink head cost</t>
  </si>
  <si>
    <t>Run Speed</t>
  </si>
  <si>
    <t>Tab Cost</t>
  </si>
  <si>
    <t>Run Cost  NO Inkjet</t>
  </si>
  <si>
    <t>Inkjet Cost</t>
  </si>
  <si>
    <t>Total              Wafer Seal Only</t>
  </si>
  <si>
    <t>Total                   Ink Jet Only</t>
  </si>
  <si>
    <t>Total Wafer Seal &amp; InkJet</t>
  </si>
  <si>
    <t>SeCap</t>
  </si>
  <si>
    <t>**Add List maintenance $$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</si>
</sst>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&quot;$&quot;#,##0.00"/>
    <numFmt numFmtId="166" formatCode="0.00000"/>
    <numFmt numFmtId="167" formatCode="&quot;$&quot;#,##0.000"/>
  </numFmts>
  <fonts count="4" x14ac:knownFonts="1">
    <font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3" fontId="0" fillId="3" borderId="2" xfId="0" applyNumberFormat="1" applyFill="1" applyBorder="1" applyAlignment="1">
      <alignment horizontal="center" vertical="center" wrapText="1"/>
    </xf>
    <xf numFmtId="1" fontId="0" fillId="4" borderId="2" xfId="0" applyNumberFormat="1" applyFill="1" applyBorder="1" applyAlignment="1">
      <alignment horizontal="center" vertical="center" wrapText="1"/>
    </xf>
    <xf numFmtId="164" fontId="0" fillId="2" borderId="3" xfId="0" applyNumberForma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165" fontId="0" fillId="5" borderId="3" xfId="0" applyNumberFormat="1" applyFill="1" applyBorder="1" applyAlignment="1">
      <alignment horizontal="center" vertical="center" wrapText="1"/>
    </xf>
    <xf numFmtId="165" fontId="0" fillId="2" borderId="3" xfId="0" applyNumberForma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3" fontId="0" fillId="0" borderId="5" xfId="0" applyNumberFormat="1" applyBorder="1" applyAlignment="1">
      <alignment vertical="center"/>
    </xf>
    <xf numFmtId="1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3" fillId="8" borderId="0" xfId="0" applyFont="1" applyFill="1" applyAlignment="1">
      <alignment horizontal="left" vertical="center" indent="1"/>
    </xf>
    <xf numFmtId="3" fontId="0" fillId="0" borderId="7" xfId="0" applyNumberFormat="1" applyBorder="1" applyAlignment="1">
      <alignment vertical="center"/>
    </xf>
    <xf numFmtId="165" fontId="0" fillId="0" borderId="8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9">
    <dxf>
      <numFmt numFmtId="165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$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$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5" formatCode="&quot;$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66" formatCode="0.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0.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ODMGR\Desktop\Paper%20Calipers.xlsx" TargetMode="External"/><Relationship Id="rId1" Type="http://schemas.openxmlformats.org/officeDocument/2006/relationships/externalLinkPath" Target="Paper%20Calip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 Paper IN_OUT FORM"/>
      <sheetName val="Vendor Purchases"/>
      <sheetName val="INVENTORY_DO NOT ALTER"/>
      <sheetName val="MY LISTS"/>
    </sheetNames>
    <sheetDataSet>
      <sheetData sheetId="0">
        <row r="3">
          <cell r="A3">
            <v>716</v>
          </cell>
          <cell r="H3">
            <v>13625</v>
          </cell>
        </row>
        <row r="4">
          <cell r="A4">
            <v>702</v>
          </cell>
          <cell r="H4">
            <v>450</v>
          </cell>
        </row>
        <row r="5">
          <cell r="A5">
            <v>85</v>
          </cell>
          <cell r="H5">
            <v>3625</v>
          </cell>
        </row>
        <row r="6">
          <cell r="A6">
            <v>116</v>
          </cell>
          <cell r="H6">
            <v>450</v>
          </cell>
        </row>
        <row r="7">
          <cell r="A7">
            <v>46</v>
          </cell>
          <cell r="H7">
            <v>3350</v>
          </cell>
        </row>
        <row r="8">
          <cell r="A8">
            <v>663</v>
          </cell>
          <cell r="H8">
            <v>5400</v>
          </cell>
        </row>
        <row r="9">
          <cell r="A9">
            <v>218</v>
          </cell>
          <cell r="H9">
            <v>20500</v>
          </cell>
        </row>
        <row r="10">
          <cell r="A10">
            <v>126</v>
          </cell>
          <cell r="H10">
            <v>1000</v>
          </cell>
        </row>
        <row r="11">
          <cell r="A11">
            <v>715</v>
          </cell>
          <cell r="H11">
            <v>2525</v>
          </cell>
        </row>
        <row r="12">
          <cell r="A12">
            <v>657</v>
          </cell>
          <cell r="H12">
            <v>1150</v>
          </cell>
        </row>
        <row r="13">
          <cell r="A13">
            <v>47</v>
          </cell>
          <cell r="H13">
            <v>25</v>
          </cell>
        </row>
        <row r="14">
          <cell r="A14">
            <v>9</v>
          </cell>
          <cell r="H14">
            <v>150</v>
          </cell>
        </row>
        <row r="15">
          <cell r="A15">
            <v>19</v>
          </cell>
          <cell r="H15">
            <v>720</v>
          </cell>
        </row>
        <row r="16">
          <cell r="A16">
            <v>117</v>
          </cell>
          <cell r="H16">
            <v>1760</v>
          </cell>
        </row>
        <row r="17">
          <cell r="A17">
            <v>131</v>
          </cell>
          <cell r="H17">
            <v>15444</v>
          </cell>
        </row>
        <row r="18">
          <cell r="A18">
            <v>133</v>
          </cell>
          <cell r="H18">
            <v>2150</v>
          </cell>
        </row>
        <row r="19">
          <cell r="A19">
            <v>663</v>
          </cell>
          <cell r="H19">
            <v>22000</v>
          </cell>
        </row>
        <row r="20">
          <cell r="A20">
            <v>664</v>
          </cell>
          <cell r="H20">
            <v>1200</v>
          </cell>
        </row>
        <row r="21">
          <cell r="A21">
            <v>180</v>
          </cell>
          <cell r="H21">
            <v>500</v>
          </cell>
        </row>
        <row r="22">
          <cell r="A22">
            <v>218</v>
          </cell>
          <cell r="H22">
            <v>2120</v>
          </cell>
        </row>
        <row r="23">
          <cell r="A23">
            <v>102</v>
          </cell>
          <cell r="H23">
            <v>2225</v>
          </cell>
        </row>
        <row r="24">
          <cell r="A24">
            <v>676</v>
          </cell>
          <cell r="H24">
            <v>3500</v>
          </cell>
        </row>
        <row r="25">
          <cell r="A25">
            <v>95</v>
          </cell>
          <cell r="H25">
            <v>40820</v>
          </cell>
        </row>
        <row r="26">
          <cell r="A26">
            <v>218</v>
          </cell>
          <cell r="H26">
            <v>17180</v>
          </cell>
        </row>
        <row r="27">
          <cell r="A27">
            <v>61</v>
          </cell>
          <cell r="H27">
            <v>5</v>
          </cell>
        </row>
        <row r="28">
          <cell r="A28">
            <v>159</v>
          </cell>
          <cell r="H28">
            <v>460</v>
          </cell>
        </row>
        <row r="29">
          <cell r="A29">
            <v>109</v>
          </cell>
          <cell r="H29">
            <v>1825</v>
          </cell>
        </row>
        <row r="30">
          <cell r="A30">
            <v>658</v>
          </cell>
          <cell r="H30">
            <v>44000</v>
          </cell>
        </row>
        <row r="31">
          <cell r="A31">
            <v>1</v>
          </cell>
          <cell r="H31">
            <v>123</v>
          </cell>
        </row>
        <row r="32">
          <cell r="A32">
            <v>660</v>
          </cell>
          <cell r="H32">
            <v>5800</v>
          </cell>
        </row>
        <row r="33">
          <cell r="A33">
            <v>667</v>
          </cell>
          <cell r="H33">
            <v>1000</v>
          </cell>
        </row>
        <row r="34">
          <cell r="A34">
            <v>683</v>
          </cell>
          <cell r="H34">
            <v>1500</v>
          </cell>
        </row>
        <row r="35">
          <cell r="A35">
            <v>202</v>
          </cell>
          <cell r="H35">
            <v>220</v>
          </cell>
        </row>
        <row r="36">
          <cell r="A36">
            <v>683</v>
          </cell>
          <cell r="H36">
            <v>800</v>
          </cell>
        </row>
        <row r="37">
          <cell r="A37">
            <v>138</v>
          </cell>
          <cell r="H37">
            <v>200</v>
          </cell>
        </row>
        <row r="38">
          <cell r="A38">
            <v>42</v>
          </cell>
          <cell r="H38">
            <v>810</v>
          </cell>
        </row>
        <row r="39">
          <cell r="A39">
            <v>661</v>
          </cell>
          <cell r="H39">
            <v>1750</v>
          </cell>
        </row>
        <row r="40">
          <cell r="A40">
            <v>228</v>
          </cell>
          <cell r="H40">
            <v>163</v>
          </cell>
        </row>
        <row r="41">
          <cell r="A41">
            <v>663</v>
          </cell>
          <cell r="H41">
            <v>4400</v>
          </cell>
        </row>
        <row r="42">
          <cell r="A42">
            <v>662</v>
          </cell>
          <cell r="H42">
            <v>1900</v>
          </cell>
        </row>
        <row r="43">
          <cell r="A43">
            <v>662</v>
          </cell>
          <cell r="H43">
            <v>1900</v>
          </cell>
        </row>
        <row r="44">
          <cell r="A44">
            <v>453</v>
          </cell>
          <cell r="H44">
            <v>300</v>
          </cell>
        </row>
        <row r="45">
          <cell r="A45">
            <v>662</v>
          </cell>
          <cell r="H45">
            <v>2200</v>
          </cell>
        </row>
        <row r="46">
          <cell r="A46">
            <v>553</v>
          </cell>
          <cell r="H46">
            <v>1050</v>
          </cell>
        </row>
        <row r="47">
          <cell r="A47">
            <v>102</v>
          </cell>
          <cell r="H47">
            <v>4900</v>
          </cell>
        </row>
        <row r="48">
          <cell r="A48">
            <v>665</v>
          </cell>
          <cell r="H48">
            <v>550</v>
          </cell>
        </row>
        <row r="49">
          <cell r="A49">
            <v>114</v>
          </cell>
          <cell r="H49">
            <v>3750</v>
          </cell>
        </row>
        <row r="50">
          <cell r="A50">
            <v>133</v>
          </cell>
          <cell r="H50">
            <v>525</v>
          </cell>
        </row>
        <row r="51">
          <cell r="A51">
            <v>551</v>
          </cell>
          <cell r="H51">
            <v>1250</v>
          </cell>
        </row>
        <row r="52">
          <cell r="A52">
            <v>561</v>
          </cell>
          <cell r="H52">
            <v>75</v>
          </cell>
        </row>
        <row r="53">
          <cell r="A53">
            <v>196</v>
          </cell>
          <cell r="H53">
            <v>3250</v>
          </cell>
        </row>
        <row r="54">
          <cell r="A54">
            <v>47</v>
          </cell>
          <cell r="H54">
            <v>18</v>
          </cell>
        </row>
        <row r="55">
          <cell r="A55">
            <v>18</v>
          </cell>
          <cell r="H55">
            <v>11000</v>
          </cell>
        </row>
        <row r="56">
          <cell r="A56">
            <v>3</v>
          </cell>
          <cell r="H56">
            <v>11000</v>
          </cell>
        </row>
        <row r="57">
          <cell r="A57">
            <v>66</v>
          </cell>
          <cell r="H57">
            <v>15</v>
          </cell>
        </row>
        <row r="58">
          <cell r="A58">
            <v>178</v>
          </cell>
          <cell r="H58">
            <v>165</v>
          </cell>
        </row>
        <row r="59">
          <cell r="A59">
            <v>44</v>
          </cell>
          <cell r="H59">
            <v>75</v>
          </cell>
        </row>
        <row r="60">
          <cell r="A60">
            <v>57</v>
          </cell>
          <cell r="H60">
            <v>88</v>
          </cell>
        </row>
        <row r="61">
          <cell r="A61">
            <v>550</v>
          </cell>
          <cell r="H61">
            <v>1100</v>
          </cell>
        </row>
        <row r="62">
          <cell r="A62">
            <v>3</v>
          </cell>
          <cell r="H62">
            <v>3250</v>
          </cell>
        </row>
        <row r="63">
          <cell r="A63">
            <v>109</v>
          </cell>
          <cell r="H63">
            <v>1000</v>
          </cell>
        </row>
        <row r="64">
          <cell r="A64">
            <v>63</v>
          </cell>
          <cell r="H64">
            <v>56</v>
          </cell>
        </row>
        <row r="65">
          <cell r="A65">
            <v>9</v>
          </cell>
          <cell r="H65">
            <v>109</v>
          </cell>
        </row>
        <row r="66">
          <cell r="A66">
            <v>560</v>
          </cell>
          <cell r="H66">
            <v>1790</v>
          </cell>
        </row>
        <row r="67">
          <cell r="A67">
            <v>186</v>
          </cell>
          <cell r="H67">
            <v>4500</v>
          </cell>
        </row>
        <row r="68">
          <cell r="A68">
            <v>187</v>
          </cell>
          <cell r="H68">
            <v>2500</v>
          </cell>
        </row>
        <row r="69">
          <cell r="A69">
            <v>57</v>
          </cell>
          <cell r="H69">
            <v>100</v>
          </cell>
        </row>
        <row r="70">
          <cell r="A70">
            <v>196</v>
          </cell>
          <cell r="H70">
            <v>150</v>
          </cell>
        </row>
        <row r="71">
          <cell r="A71">
            <v>557</v>
          </cell>
          <cell r="H71">
            <v>900</v>
          </cell>
        </row>
        <row r="72">
          <cell r="A72">
            <v>660</v>
          </cell>
          <cell r="H72">
            <v>4000</v>
          </cell>
        </row>
        <row r="73">
          <cell r="A73">
            <v>196</v>
          </cell>
          <cell r="H73">
            <v>250</v>
          </cell>
        </row>
        <row r="74">
          <cell r="A74">
            <v>176</v>
          </cell>
          <cell r="H74">
            <v>650</v>
          </cell>
        </row>
        <row r="75">
          <cell r="A75">
            <v>658</v>
          </cell>
          <cell r="H75">
            <v>11000</v>
          </cell>
        </row>
        <row r="76">
          <cell r="A76">
            <v>182</v>
          </cell>
          <cell r="H76">
            <v>840</v>
          </cell>
        </row>
        <row r="77">
          <cell r="A77">
            <v>669</v>
          </cell>
          <cell r="H77">
            <v>3500</v>
          </cell>
        </row>
        <row r="78">
          <cell r="A78">
            <v>670</v>
          </cell>
          <cell r="H78">
            <v>12000</v>
          </cell>
        </row>
        <row r="79">
          <cell r="A79">
            <v>670</v>
          </cell>
          <cell r="H79">
            <v>10000</v>
          </cell>
        </row>
        <row r="80">
          <cell r="A80">
            <v>668</v>
          </cell>
          <cell r="H80">
            <v>26</v>
          </cell>
        </row>
        <row r="81">
          <cell r="A81">
            <v>109</v>
          </cell>
          <cell r="H81">
            <v>600</v>
          </cell>
        </row>
        <row r="82">
          <cell r="A82">
            <v>6</v>
          </cell>
          <cell r="H82">
            <v>2500</v>
          </cell>
        </row>
        <row r="83">
          <cell r="A83">
            <v>196</v>
          </cell>
          <cell r="H83">
            <v>2000</v>
          </cell>
        </row>
        <row r="84">
          <cell r="A84">
            <v>66</v>
          </cell>
          <cell r="H84">
            <v>35</v>
          </cell>
        </row>
        <row r="85">
          <cell r="A85">
            <v>126</v>
          </cell>
          <cell r="H85">
            <v>350</v>
          </cell>
        </row>
        <row r="86">
          <cell r="A86">
            <v>44</v>
          </cell>
          <cell r="H86">
            <v>20</v>
          </cell>
        </row>
        <row r="87">
          <cell r="A87">
            <v>88</v>
          </cell>
          <cell r="H87">
            <v>740</v>
          </cell>
        </row>
        <row r="88">
          <cell r="A88">
            <v>77</v>
          </cell>
          <cell r="H88">
            <v>45</v>
          </cell>
        </row>
        <row r="89">
          <cell r="A89">
            <v>559</v>
          </cell>
          <cell r="H89">
            <v>70</v>
          </cell>
        </row>
        <row r="90">
          <cell r="A90">
            <v>668</v>
          </cell>
          <cell r="H90">
            <v>20</v>
          </cell>
        </row>
        <row r="91">
          <cell r="A91">
            <v>668</v>
          </cell>
          <cell r="H91">
            <v>130</v>
          </cell>
        </row>
        <row r="92">
          <cell r="A92">
            <v>668</v>
          </cell>
          <cell r="H92">
            <v>16</v>
          </cell>
        </row>
        <row r="93">
          <cell r="A93">
            <v>188</v>
          </cell>
          <cell r="H93">
            <v>11</v>
          </cell>
        </row>
        <row r="94">
          <cell r="A94">
            <v>668</v>
          </cell>
          <cell r="H94">
            <v>26</v>
          </cell>
        </row>
        <row r="95">
          <cell r="A95">
            <v>102</v>
          </cell>
          <cell r="H95">
            <v>400</v>
          </cell>
        </row>
        <row r="96">
          <cell r="A96">
            <v>176</v>
          </cell>
          <cell r="H96">
            <v>300</v>
          </cell>
        </row>
        <row r="97">
          <cell r="A97">
            <v>126</v>
          </cell>
          <cell r="H97">
            <v>120</v>
          </cell>
        </row>
        <row r="98">
          <cell r="A98">
            <v>203</v>
          </cell>
          <cell r="H98">
            <v>1600</v>
          </cell>
        </row>
        <row r="99">
          <cell r="A99">
            <v>176</v>
          </cell>
          <cell r="H99">
            <v>215</v>
          </cell>
        </row>
        <row r="100">
          <cell r="A100">
            <v>176</v>
          </cell>
          <cell r="H100">
            <v>300</v>
          </cell>
        </row>
        <row r="101">
          <cell r="A101">
            <v>181</v>
          </cell>
          <cell r="H101">
            <v>150</v>
          </cell>
        </row>
        <row r="102">
          <cell r="A102">
            <v>139</v>
          </cell>
          <cell r="H102">
            <v>860</v>
          </cell>
        </row>
        <row r="103">
          <cell r="A103">
            <v>133</v>
          </cell>
          <cell r="H103">
            <v>375</v>
          </cell>
        </row>
        <row r="104">
          <cell r="A104">
            <v>677</v>
          </cell>
          <cell r="H104">
            <v>2900</v>
          </cell>
        </row>
        <row r="105">
          <cell r="A105">
            <v>488</v>
          </cell>
          <cell r="H105">
            <v>15</v>
          </cell>
        </row>
        <row r="106">
          <cell r="A106">
            <v>180</v>
          </cell>
          <cell r="H106">
            <v>5000</v>
          </cell>
        </row>
        <row r="107">
          <cell r="A107">
            <v>210</v>
          </cell>
          <cell r="H107">
            <v>3750</v>
          </cell>
        </row>
        <row r="108">
          <cell r="A108">
            <v>204</v>
          </cell>
          <cell r="H108">
            <v>2780</v>
          </cell>
        </row>
        <row r="109">
          <cell r="A109">
            <v>77</v>
          </cell>
          <cell r="H109">
            <v>15</v>
          </cell>
        </row>
        <row r="110">
          <cell r="A110">
            <v>136</v>
          </cell>
          <cell r="H110">
            <v>6350</v>
          </cell>
        </row>
        <row r="111">
          <cell r="A111">
            <v>210</v>
          </cell>
          <cell r="H111">
            <v>2100</v>
          </cell>
        </row>
        <row r="112">
          <cell r="A112">
            <v>44</v>
          </cell>
          <cell r="H112">
            <v>105</v>
          </cell>
        </row>
        <row r="113">
          <cell r="A113">
            <v>34</v>
          </cell>
          <cell r="H113">
            <v>19</v>
          </cell>
        </row>
        <row r="114">
          <cell r="A114">
            <v>558</v>
          </cell>
          <cell r="H114">
            <v>138</v>
          </cell>
        </row>
        <row r="115">
          <cell r="A115">
            <v>668</v>
          </cell>
          <cell r="H115">
            <v>300</v>
          </cell>
        </row>
        <row r="116">
          <cell r="A116">
            <v>488</v>
          </cell>
          <cell r="H116">
            <v>25</v>
          </cell>
        </row>
        <row r="117">
          <cell r="A117">
            <v>682</v>
          </cell>
          <cell r="H117">
            <v>3000</v>
          </cell>
        </row>
        <row r="118">
          <cell r="A118">
            <v>78</v>
          </cell>
          <cell r="H118">
            <v>2650</v>
          </cell>
        </row>
        <row r="119">
          <cell r="A119">
            <v>678</v>
          </cell>
          <cell r="H119">
            <v>5500</v>
          </cell>
        </row>
        <row r="120">
          <cell r="A120">
            <v>677</v>
          </cell>
          <cell r="H120">
            <v>171</v>
          </cell>
        </row>
        <row r="121">
          <cell r="A121">
            <v>356</v>
          </cell>
          <cell r="H121">
            <v>425</v>
          </cell>
        </row>
        <row r="122">
          <cell r="A122">
            <v>488</v>
          </cell>
          <cell r="H122">
            <v>90</v>
          </cell>
        </row>
        <row r="123">
          <cell r="A123">
            <v>17</v>
          </cell>
          <cell r="H123">
            <v>12</v>
          </cell>
        </row>
        <row r="124">
          <cell r="A124">
            <v>47</v>
          </cell>
          <cell r="H124">
            <v>7</v>
          </cell>
        </row>
        <row r="125">
          <cell r="A125">
            <v>70</v>
          </cell>
          <cell r="H125">
            <v>750</v>
          </cell>
        </row>
        <row r="126">
          <cell r="A126">
            <v>685</v>
          </cell>
          <cell r="H126">
            <v>1000</v>
          </cell>
        </row>
        <row r="127">
          <cell r="A127">
            <v>702</v>
          </cell>
          <cell r="H127">
            <v>1500</v>
          </cell>
        </row>
        <row r="128">
          <cell r="A128">
            <v>684</v>
          </cell>
          <cell r="H128">
            <v>1330</v>
          </cell>
        </row>
        <row r="129">
          <cell r="A129">
            <v>354</v>
          </cell>
          <cell r="H129">
            <v>20</v>
          </cell>
        </row>
        <row r="130">
          <cell r="A130">
            <v>176</v>
          </cell>
          <cell r="H130">
            <v>900</v>
          </cell>
        </row>
        <row r="131">
          <cell r="A131">
            <v>17</v>
          </cell>
          <cell r="H131">
            <v>7</v>
          </cell>
        </row>
        <row r="132">
          <cell r="A132">
            <v>188</v>
          </cell>
          <cell r="H132">
            <v>6</v>
          </cell>
        </row>
        <row r="133">
          <cell r="A133">
            <v>188</v>
          </cell>
          <cell r="H133">
            <v>6</v>
          </cell>
        </row>
        <row r="134">
          <cell r="A134">
            <v>155</v>
          </cell>
          <cell r="H134">
            <v>150</v>
          </cell>
        </row>
        <row r="135">
          <cell r="A135">
            <v>450</v>
          </cell>
          <cell r="H135">
            <v>3380</v>
          </cell>
        </row>
        <row r="136">
          <cell r="A136">
            <v>361</v>
          </cell>
          <cell r="H136">
            <v>1500</v>
          </cell>
        </row>
        <row r="137">
          <cell r="A137">
            <v>664</v>
          </cell>
          <cell r="H137">
            <v>338</v>
          </cell>
        </row>
        <row r="138">
          <cell r="A138">
            <v>147</v>
          </cell>
          <cell r="H138">
            <v>30738</v>
          </cell>
        </row>
        <row r="139">
          <cell r="A139">
            <v>66</v>
          </cell>
          <cell r="H139">
            <v>17</v>
          </cell>
        </row>
        <row r="140">
          <cell r="A140">
            <v>85</v>
          </cell>
          <cell r="H140">
            <v>2375</v>
          </cell>
        </row>
        <row r="141">
          <cell r="A141">
            <v>57</v>
          </cell>
          <cell r="H141">
            <v>100</v>
          </cell>
        </row>
        <row r="142">
          <cell r="A142">
            <v>9</v>
          </cell>
          <cell r="H142">
            <v>3500</v>
          </cell>
        </row>
        <row r="143">
          <cell r="A143">
            <v>54</v>
          </cell>
          <cell r="H143">
            <v>60</v>
          </cell>
        </row>
        <row r="144">
          <cell r="A144">
            <v>677</v>
          </cell>
          <cell r="H144">
            <v>2250</v>
          </cell>
        </row>
        <row r="145">
          <cell r="A145">
            <v>10</v>
          </cell>
          <cell r="H145">
            <v>1600</v>
          </cell>
        </row>
        <row r="146">
          <cell r="A146">
            <v>692</v>
          </cell>
          <cell r="H146">
            <v>5200</v>
          </cell>
        </row>
        <row r="147">
          <cell r="A147">
            <v>182</v>
          </cell>
          <cell r="H147">
            <v>200</v>
          </cell>
        </row>
        <row r="148">
          <cell r="A148">
            <v>669</v>
          </cell>
          <cell r="H148">
            <v>1500</v>
          </cell>
        </row>
        <row r="149">
          <cell r="A149">
            <v>679</v>
          </cell>
          <cell r="H149">
            <v>1500</v>
          </cell>
        </row>
        <row r="150">
          <cell r="A150">
            <v>61</v>
          </cell>
          <cell r="H150">
            <v>1500</v>
          </cell>
        </row>
        <row r="151">
          <cell r="A151">
            <v>159</v>
          </cell>
          <cell r="H151">
            <v>460</v>
          </cell>
        </row>
        <row r="152">
          <cell r="A152">
            <v>681</v>
          </cell>
          <cell r="H152">
            <v>1825</v>
          </cell>
        </row>
        <row r="153">
          <cell r="A153">
            <v>189</v>
          </cell>
          <cell r="H153">
            <v>13</v>
          </cell>
        </row>
        <row r="154">
          <cell r="A154">
            <v>214</v>
          </cell>
          <cell r="H154">
            <v>5</v>
          </cell>
        </row>
        <row r="155">
          <cell r="A155">
            <v>193</v>
          </cell>
          <cell r="H155">
            <v>1000</v>
          </cell>
        </row>
        <row r="156">
          <cell r="A156">
            <v>190</v>
          </cell>
          <cell r="H156">
            <v>25</v>
          </cell>
        </row>
        <row r="157">
          <cell r="A157">
            <v>47</v>
          </cell>
          <cell r="H157">
            <v>7</v>
          </cell>
        </row>
        <row r="158">
          <cell r="A158">
            <v>680</v>
          </cell>
          <cell r="H158">
            <v>250</v>
          </cell>
        </row>
        <row r="159">
          <cell r="A159">
            <v>680</v>
          </cell>
          <cell r="H159">
            <v>250</v>
          </cell>
        </row>
        <row r="160">
          <cell r="A160">
            <v>47</v>
          </cell>
          <cell r="H160">
            <v>15</v>
          </cell>
        </row>
        <row r="161">
          <cell r="A161">
            <v>477</v>
          </cell>
          <cell r="H161">
            <v>400</v>
          </cell>
        </row>
        <row r="162">
          <cell r="A162">
            <v>49</v>
          </cell>
          <cell r="H162">
            <v>140</v>
          </cell>
        </row>
        <row r="163">
          <cell r="A163">
            <v>489</v>
          </cell>
          <cell r="H163">
            <v>250</v>
          </cell>
        </row>
        <row r="164">
          <cell r="A164">
            <v>678</v>
          </cell>
          <cell r="H164">
            <v>4500</v>
          </cell>
        </row>
        <row r="165">
          <cell r="A165">
            <v>124</v>
          </cell>
          <cell r="H165">
            <v>2300</v>
          </cell>
        </row>
        <row r="166">
          <cell r="A166">
            <v>364</v>
          </cell>
          <cell r="H166">
            <v>175</v>
          </cell>
        </row>
        <row r="167">
          <cell r="A167">
            <v>553</v>
          </cell>
          <cell r="H167">
            <v>240</v>
          </cell>
        </row>
        <row r="168">
          <cell r="A168">
            <v>188</v>
          </cell>
          <cell r="H168">
            <v>6</v>
          </cell>
        </row>
        <row r="169">
          <cell r="A169">
            <v>155</v>
          </cell>
          <cell r="H169">
            <v>143</v>
          </cell>
        </row>
        <row r="170">
          <cell r="A170">
            <v>94</v>
          </cell>
          <cell r="H170">
            <v>17</v>
          </cell>
        </row>
        <row r="171">
          <cell r="A171">
            <v>94</v>
          </cell>
          <cell r="H171">
            <v>10</v>
          </cell>
        </row>
        <row r="172">
          <cell r="A172">
            <v>158</v>
          </cell>
          <cell r="H172">
            <v>34400</v>
          </cell>
        </row>
        <row r="173">
          <cell r="A173">
            <v>155</v>
          </cell>
          <cell r="H173">
            <v>195</v>
          </cell>
        </row>
        <row r="174">
          <cell r="A174">
            <v>210</v>
          </cell>
          <cell r="H174">
            <v>55</v>
          </cell>
        </row>
        <row r="175">
          <cell r="A175">
            <v>68</v>
          </cell>
          <cell r="H175">
            <v>3000</v>
          </cell>
        </row>
        <row r="176">
          <cell r="A176">
            <v>17</v>
          </cell>
          <cell r="H176">
            <v>40</v>
          </cell>
        </row>
        <row r="177">
          <cell r="A177">
            <v>155</v>
          </cell>
          <cell r="H177">
            <v>200</v>
          </cell>
        </row>
        <row r="178">
          <cell r="A178">
            <v>349</v>
          </cell>
          <cell r="H178">
            <v>80</v>
          </cell>
        </row>
        <row r="179">
          <cell r="A179">
            <v>348</v>
          </cell>
          <cell r="H179">
            <v>1667</v>
          </cell>
        </row>
        <row r="180">
          <cell r="A180">
            <v>42</v>
          </cell>
          <cell r="H180">
            <v>50</v>
          </cell>
        </row>
        <row r="181">
          <cell r="A181">
            <v>686</v>
          </cell>
          <cell r="H181">
            <v>1350</v>
          </cell>
        </row>
        <row r="182">
          <cell r="A182">
            <v>210</v>
          </cell>
          <cell r="H182">
            <v>50</v>
          </cell>
        </row>
        <row r="183">
          <cell r="A183">
            <v>66</v>
          </cell>
          <cell r="H183">
            <v>50</v>
          </cell>
        </row>
        <row r="184">
          <cell r="A184">
            <v>668</v>
          </cell>
          <cell r="H184">
            <v>26</v>
          </cell>
        </row>
        <row r="185">
          <cell r="A185">
            <v>668</v>
          </cell>
          <cell r="H185">
            <v>90</v>
          </cell>
        </row>
        <row r="186">
          <cell r="A186">
            <v>668</v>
          </cell>
          <cell r="H186">
            <v>40</v>
          </cell>
        </row>
        <row r="187">
          <cell r="A187">
            <v>685</v>
          </cell>
          <cell r="H187">
            <v>500</v>
          </cell>
        </row>
        <row r="188">
          <cell r="A188">
            <v>102</v>
          </cell>
          <cell r="H188">
            <v>1167</v>
          </cell>
        </row>
        <row r="189">
          <cell r="A189">
            <v>61</v>
          </cell>
          <cell r="H189">
            <v>10</v>
          </cell>
        </row>
        <row r="190">
          <cell r="A190">
            <v>676</v>
          </cell>
          <cell r="H190">
            <v>250</v>
          </cell>
        </row>
        <row r="191">
          <cell r="A191">
            <v>94</v>
          </cell>
          <cell r="H191">
            <v>7</v>
          </cell>
        </row>
        <row r="192">
          <cell r="A192">
            <v>682</v>
          </cell>
          <cell r="H192">
            <v>1500</v>
          </cell>
        </row>
        <row r="193">
          <cell r="A193">
            <v>684</v>
          </cell>
          <cell r="H193">
            <v>1500</v>
          </cell>
        </row>
        <row r="194">
          <cell r="A194">
            <v>680</v>
          </cell>
          <cell r="H194">
            <v>150</v>
          </cell>
        </row>
        <row r="195">
          <cell r="A195">
            <v>349</v>
          </cell>
          <cell r="H195">
            <v>2</v>
          </cell>
        </row>
        <row r="196">
          <cell r="A196">
            <v>349</v>
          </cell>
          <cell r="H196">
            <v>5</v>
          </cell>
        </row>
        <row r="197">
          <cell r="A197">
            <v>349</v>
          </cell>
          <cell r="H197">
            <v>10</v>
          </cell>
        </row>
        <row r="198">
          <cell r="A198">
            <v>3</v>
          </cell>
          <cell r="H198">
            <v>2500</v>
          </cell>
        </row>
        <row r="199">
          <cell r="A199">
            <v>668</v>
          </cell>
          <cell r="H199">
            <v>26</v>
          </cell>
        </row>
        <row r="200">
          <cell r="A200">
            <v>690</v>
          </cell>
          <cell r="H200">
            <v>3600</v>
          </cell>
        </row>
        <row r="201">
          <cell r="A201">
            <v>688</v>
          </cell>
          <cell r="H201">
            <v>2000</v>
          </cell>
        </row>
        <row r="202">
          <cell r="A202">
            <v>692</v>
          </cell>
          <cell r="H202">
            <v>2000</v>
          </cell>
        </row>
        <row r="203">
          <cell r="A203">
            <v>85</v>
          </cell>
          <cell r="H203">
            <v>1010</v>
          </cell>
        </row>
        <row r="204">
          <cell r="A204">
            <v>9</v>
          </cell>
          <cell r="H204">
            <v>275</v>
          </cell>
        </row>
        <row r="205">
          <cell r="A205">
            <v>176</v>
          </cell>
          <cell r="H205">
            <v>400</v>
          </cell>
        </row>
        <row r="206">
          <cell r="A206">
            <v>9</v>
          </cell>
          <cell r="H206">
            <v>110</v>
          </cell>
        </row>
        <row r="207">
          <cell r="A207">
            <v>695</v>
          </cell>
          <cell r="H207">
            <v>5800</v>
          </cell>
        </row>
        <row r="208">
          <cell r="A208">
            <v>488</v>
          </cell>
          <cell r="H208">
            <v>30</v>
          </cell>
        </row>
        <row r="209">
          <cell r="A209">
            <v>665</v>
          </cell>
          <cell r="H209">
            <v>620</v>
          </cell>
        </row>
        <row r="210">
          <cell r="A210">
            <v>188</v>
          </cell>
          <cell r="H210">
            <v>12</v>
          </cell>
        </row>
        <row r="211">
          <cell r="A211">
            <v>19</v>
          </cell>
          <cell r="H211">
            <v>25</v>
          </cell>
        </row>
        <row r="212">
          <cell r="A212">
            <v>691</v>
          </cell>
          <cell r="H212">
            <v>1600</v>
          </cell>
        </row>
        <row r="213">
          <cell r="A213">
            <v>6</v>
          </cell>
          <cell r="H213">
            <v>2000</v>
          </cell>
        </row>
        <row r="214">
          <cell r="A214">
            <v>188</v>
          </cell>
          <cell r="H214">
            <v>6</v>
          </cell>
        </row>
        <row r="215">
          <cell r="A215">
            <v>54</v>
          </cell>
          <cell r="H215">
            <v>390</v>
          </cell>
        </row>
        <row r="216">
          <cell r="A216">
            <v>17</v>
          </cell>
          <cell r="H216">
            <v>35</v>
          </cell>
        </row>
        <row r="217">
          <cell r="A217">
            <v>349</v>
          </cell>
          <cell r="H217">
            <v>2</v>
          </cell>
        </row>
        <row r="218">
          <cell r="A218">
            <v>668</v>
          </cell>
          <cell r="H218">
            <v>16</v>
          </cell>
        </row>
        <row r="219">
          <cell r="A219">
            <v>668</v>
          </cell>
          <cell r="H219">
            <v>26</v>
          </cell>
        </row>
        <row r="220">
          <cell r="A220">
            <v>668</v>
          </cell>
          <cell r="H220">
            <v>26</v>
          </cell>
        </row>
        <row r="221">
          <cell r="A221">
            <v>47</v>
          </cell>
          <cell r="H221">
            <v>7</v>
          </cell>
        </row>
        <row r="222">
          <cell r="A222">
            <v>193</v>
          </cell>
          <cell r="H222">
            <v>1000</v>
          </cell>
        </row>
        <row r="223">
          <cell r="A223">
            <v>156</v>
          </cell>
          <cell r="H223">
            <v>393</v>
          </cell>
        </row>
        <row r="224">
          <cell r="A224">
            <v>693</v>
          </cell>
          <cell r="H224">
            <v>800</v>
          </cell>
        </row>
        <row r="225">
          <cell r="A225">
            <v>188</v>
          </cell>
          <cell r="H225">
            <v>13</v>
          </cell>
        </row>
        <row r="226">
          <cell r="A226">
            <v>17</v>
          </cell>
          <cell r="H226">
            <v>7</v>
          </cell>
        </row>
        <row r="227">
          <cell r="A227">
            <v>17</v>
          </cell>
          <cell r="H227">
            <v>4</v>
          </cell>
        </row>
        <row r="228">
          <cell r="A228">
            <v>692</v>
          </cell>
          <cell r="H228">
            <v>7700</v>
          </cell>
        </row>
        <row r="229">
          <cell r="A229">
            <v>26</v>
          </cell>
          <cell r="H229">
            <v>4000</v>
          </cell>
        </row>
        <row r="230">
          <cell r="A230">
            <v>124</v>
          </cell>
          <cell r="H230">
            <v>163</v>
          </cell>
        </row>
        <row r="231">
          <cell r="A231">
            <v>94</v>
          </cell>
          <cell r="H231">
            <v>10</v>
          </cell>
        </row>
        <row r="232">
          <cell r="A232">
            <v>190</v>
          </cell>
          <cell r="H232">
            <v>50</v>
          </cell>
        </row>
        <row r="233">
          <cell r="A233">
            <v>129</v>
          </cell>
          <cell r="H233">
            <v>500</v>
          </cell>
        </row>
        <row r="234">
          <cell r="A234">
            <v>130</v>
          </cell>
          <cell r="H234">
            <v>4000</v>
          </cell>
        </row>
        <row r="235">
          <cell r="A235">
            <v>156</v>
          </cell>
          <cell r="H235">
            <v>342</v>
          </cell>
        </row>
        <row r="236">
          <cell r="A236">
            <v>693</v>
          </cell>
          <cell r="H236">
            <v>1500</v>
          </cell>
        </row>
        <row r="237">
          <cell r="A237">
            <v>61</v>
          </cell>
          <cell r="H237">
            <v>5</v>
          </cell>
        </row>
        <row r="238">
          <cell r="A238">
            <v>181</v>
          </cell>
          <cell r="H238">
            <v>40</v>
          </cell>
        </row>
        <row r="239">
          <cell r="A239">
            <v>693</v>
          </cell>
          <cell r="H239">
            <v>200</v>
          </cell>
        </row>
        <row r="240">
          <cell r="A240">
            <v>486</v>
          </cell>
          <cell r="H240">
            <v>125</v>
          </cell>
        </row>
        <row r="241">
          <cell r="A241">
            <v>696</v>
          </cell>
          <cell r="H241">
            <v>960</v>
          </cell>
        </row>
        <row r="242">
          <cell r="A242">
            <v>180</v>
          </cell>
          <cell r="H242">
            <v>325</v>
          </cell>
        </row>
        <row r="243">
          <cell r="A243">
            <v>677</v>
          </cell>
          <cell r="H243">
            <v>105</v>
          </cell>
        </row>
        <row r="244">
          <cell r="A244">
            <v>193</v>
          </cell>
          <cell r="H244">
            <v>115</v>
          </cell>
        </row>
        <row r="245">
          <cell r="A245">
            <v>558</v>
          </cell>
          <cell r="H245">
            <v>325</v>
          </cell>
        </row>
        <row r="246">
          <cell r="A246">
            <v>1</v>
          </cell>
          <cell r="H246">
            <v>100</v>
          </cell>
        </row>
        <row r="247">
          <cell r="A247">
            <v>672</v>
          </cell>
          <cell r="H247">
            <v>50</v>
          </cell>
        </row>
        <row r="248">
          <cell r="A248">
            <v>61</v>
          </cell>
          <cell r="H248">
            <v>35</v>
          </cell>
        </row>
        <row r="249">
          <cell r="A249">
            <v>702</v>
          </cell>
          <cell r="H249">
            <v>3470</v>
          </cell>
        </row>
        <row r="250">
          <cell r="A250">
            <v>180</v>
          </cell>
          <cell r="H250">
            <v>100</v>
          </cell>
        </row>
        <row r="251">
          <cell r="A251">
            <v>33</v>
          </cell>
          <cell r="H251">
            <v>50</v>
          </cell>
        </row>
        <row r="252">
          <cell r="A252">
            <v>54</v>
          </cell>
          <cell r="H252">
            <v>60</v>
          </cell>
        </row>
        <row r="253">
          <cell r="A253">
            <v>6</v>
          </cell>
          <cell r="H253">
            <v>1850</v>
          </cell>
        </row>
        <row r="254">
          <cell r="A254">
            <v>180</v>
          </cell>
          <cell r="H254">
            <v>138</v>
          </cell>
        </row>
        <row r="255">
          <cell r="A255">
            <v>43</v>
          </cell>
          <cell r="H255">
            <v>90</v>
          </cell>
        </row>
        <row r="256">
          <cell r="A256">
            <v>196</v>
          </cell>
          <cell r="H256">
            <v>400</v>
          </cell>
        </row>
        <row r="257">
          <cell r="A257">
            <v>196</v>
          </cell>
          <cell r="H257">
            <v>570</v>
          </cell>
        </row>
        <row r="258">
          <cell r="A258">
            <v>147</v>
          </cell>
          <cell r="H258">
            <v>17800</v>
          </cell>
        </row>
        <row r="259">
          <cell r="A259">
            <v>178</v>
          </cell>
          <cell r="H259">
            <v>150</v>
          </cell>
        </row>
        <row r="260">
          <cell r="A260">
            <v>559</v>
          </cell>
          <cell r="H260">
            <v>150</v>
          </cell>
        </row>
        <row r="261">
          <cell r="A261">
            <v>129</v>
          </cell>
          <cell r="H261">
            <v>1900</v>
          </cell>
        </row>
        <row r="262">
          <cell r="A262">
            <v>47</v>
          </cell>
          <cell r="H262">
            <v>15</v>
          </cell>
        </row>
        <row r="263">
          <cell r="A263">
            <v>130</v>
          </cell>
          <cell r="H263">
            <v>10900</v>
          </cell>
        </row>
        <row r="264">
          <cell r="A264">
            <v>137</v>
          </cell>
          <cell r="H264">
            <v>9250</v>
          </cell>
        </row>
        <row r="265">
          <cell r="A265">
            <v>657</v>
          </cell>
          <cell r="H265">
            <v>1175</v>
          </cell>
        </row>
        <row r="266">
          <cell r="A266">
            <v>178</v>
          </cell>
          <cell r="H266">
            <v>1742</v>
          </cell>
        </row>
        <row r="267">
          <cell r="A267">
            <v>47</v>
          </cell>
          <cell r="H267">
            <v>7</v>
          </cell>
        </row>
        <row r="268">
          <cell r="A268">
            <v>696</v>
          </cell>
          <cell r="H268">
            <v>740</v>
          </cell>
        </row>
        <row r="269">
          <cell r="A269">
            <v>691</v>
          </cell>
          <cell r="H269">
            <v>1400</v>
          </cell>
        </row>
        <row r="270">
          <cell r="A270">
            <v>697</v>
          </cell>
          <cell r="H270">
            <v>6000</v>
          </cell>
        </row>
        <row r="271">
          <cell r="A271">
            <v>688</v>
          </cell>
          <cell r="H271">
            <v>660</v>
          </cell>
        </row>
        <row r="272">
          <cell r="A272">
            <v>698</v>
          </cell>
          <cell r="H272">
            <v>1500</v>
          </cell>
        </row>
        <row r="273">
          <cell r="A273">
            <v>698</v>
          </cell>
          <cell r="H273">
            <v>13600</v>
          </cell>
        </row>
        <row r="274">
          <cell r="A274">
            <v>665</v>
          </cell>
          <cell r="H274">
            <v>130</v>
          </cell>
        </row>
        <row r="275">
          <cell r="A275">
            <v>19</v>
          </cell>
          <cell r="H275">
            <v>6</v>
          </cell>
        </row>
        <row r="276">
          <cell r="A276">
            <v>61</v>
          </cell>
          <cell r="H276">
            <v>5</v>
          </cell>
        </row>
        <row r="277">
          <cell r="A277">
            <v>126</v>
          </cell>
          <cell r="H277">
            <v>950</v>
          </cell>
        </row>
        <row r="278">
          <cell r="A278">
            <v>66</v>
          </cell>
          <cell r="H278">
            <v>45</v>
          </cell>
        </row>
        <row r="279">
          <cell r="A279">
            <v>171</v>
          </cell>
          <cell r="H279">
            <v>230</v>
          </cell>
        </row>
        <row r="280">
          <cell r="A280">
            <v>692</v>
          </cell>
          <cell r="H280">
            <v>1000</v>
          </cell>
        </row>
        <row r="281">
          <cell r="A281">
            <v>692</v>
          </cell>
          <cell r="H281">
            <v>3000</v>
          </cell>
        </row>
        <row r="282">
          <cell r="A282">
            <v>692</v>
          </cell>
          <cell r="H282">
            <v>1500</v>
          </cell>
        </row>
        <row r="283">
          <cell r="A283">
            <v>692</v>
          </cell>
          <cell r="H283">
            <v>945</v>
          </cell>
        </row>
        <row r="284">
          <cell r="A284">
            <v>690</v>
          </cell>
          <cell r="H284">
            <v>1000</v>
          </cell>
        </row>
        <row r="285">
          <cell r="A285">
            <v>698</v>
          </cell>
          <cell r="H285">
            <v>125</v>
          </cell>
        </row>
        <row r="286">
          <cell r="A286">
            <v>218</v>
          </cell>
          <cell r="H286">
            <v>684</v>
          </cell>
        </row>
        <row r="287">
          <cell r="A287">
            <v>668</v>
          </cell>
          <cell r="H287">
            <v>48</v>
          </cell>
        </row>
        <row r="288">
          <cell r="A288">
            <v>184</v>
          </cell>
          <cell r="H288">
            <v>180</v>
          </cell>
        </row>
        <row r="289">
          <cell r="A289">
            <v>78</v>
          </cell>
          <cell r="H289">
            <v>65</v>
          </cell>
        </row>
        <row r="290">
          <cell r="A290">
            <v>17</v>
          </cell>
          <cell r="H290">
            <v>8</v>
          </cell>
        </row>
        <row r="291">
          <cell r="A291">
            <v>354</v>
          </cell>
          <cell r="H291">
            <v>100</v>
          </cell>
        </row>
        <row r="292">
          <cell r="A292">
            <v>61</v>
          </cell>
          <cell r="H292">
            <v>25</v>
          </cell>
        </row>
        <row r="293">
          <cell r="A293">
            <v>699</v>
          </cell>
          <cell r="H293">
            <v>2000</v>
          </cell>
        </row>
        <row r="294">
          <cell r="A294">
            <v>700</v>
          </cell>
          <cell r="H294">
            <v>19500</v>
          </cell>
        </row>
        <row r="295">
          <cell r="A295">
            <v>701</v>
          </cell>
          <cell r="H295">
            <v>1125</v>
          </cell>
        </row>
        <row r="296">
          <cell r="A296">
            <v>61</v>
          </cell>
          <cell r="H296">
            <v>35</v>
          </cell>
        </row>
        <row r="297">
          <cell r="A297">
            <v>9</v>
          </cell>
          <cell r="H297">
            <v>200</v>
          </cell>
        </row>
        <row r="298">
          <cell r="A298">
            <v>9</v>
          </cell>
          <cell r="H298">
            <v>282</v>
          </cell>
        </row>
        <row r="299">
          <cell r="A299">
            <v>111</v>
          </cell>
          <cell r="H299">
            <v>5500</v>
          </cell>
        </row>
        <row r="300">
          <cell r="A300">
            <v>688</v>
          </cell>
          <cell r="H300">
            <v>1000</v>
          </cell>
        </row>
        <row r="301">
          <cell r="A301">
            <v>349</v>
          </cell>
          <cell r="H301">
            <v>7</v>
          </cell>
        </row>
        <row r="302">
          <cell r="A302">
            <v>182</v>
          </cell>
          <cell r="H302">
            <v>80</v>
          </cell>
        </row>
        <row r="303">
          <cell r="A303">
            <v>196</v>
          </cell>
          <cell r="H303">
            <v>1250</v>
          </cell>
        </row>
        <row r="304">
          <cell r="A304">
            <v>704</v>
          </cell>
          <cell r="H304">
            <v>26000</v>
          </cell>
        </row>
        <row r="305">
          <cell r="A305">
            <v>553</v>
          </cell>
          <cell r="H305">
            <v>75</v>
          </cell>
        </row>
        <row r="306">
          <cell r="A306">
            <v>93</v>
          </cell>
          <cell r="H306">
            <v>750</v>
          </cell>
        </row>
        <row r="307">
          <cell r="A307">
            <v>17</v>
          </cell>
          <cell r="H307">
            <v>23</v>
          </cell>
        </row>
        <row r="308">
          <cell r="A308">
            <v>224</v>
          </cell>
          <cell r="H308">
            <v>2650</v>
          </cell>
        </row>
        <row r="309">
          <cell r="A309">
            <v>190</v>
          </cell>
          <cell r="H309">
            <v>40</v>
          </cell>
        </row>
        <row r="310">
          <cell r="A310">
            <v>155</v>
          </cell>
          <cell r="H310">
            <v>700</v>
          </cell>
        </row>
        <row r="311">
          <cell r="A311">
            <v>17</v>
          </cell>
          <cell r="H311">
            <v>570</v>
          </cell>
        </row>
        <row r="312">
          <cell r="A312">
            <v>703</v>
          </cell>
          <cell r="H312">
            <v>1651</v>
          </cell>
        </row>
        <row r="313">
          <cell r="A313">
            <v>682</v>
          </cell>
          <cell r="H313">
            <v>4600</v>
          </cell>
        </row>
        <row r="314">
          <cell r="A314">
            <v>196</v>
          </cell>
          <cell r="H314">
            <v>130</v>
          </cell>
        </row>
        <row r="315">
          <cell r="A315">
            <v>193</v>
          </cell>
          <cell r="H315">
            <v>125</v>
          </cell>
        </row>
        <row r="316">
          <cell r="A316">
            <v>477</v>
          </cell>
          <cell r="H316">
            <v>75</v>
          </cell>
        </row>
        <row r="317">
          <cell r="A317">
            <v>692</v>
          </cell>
          <cell r="H317">
            <v>3450</v>
          </cell>
        </row>
        <row r="318">
          <cell r="A318">
            <v>705</v>
          </cell>
          <cell r="H318">
            <v>15500</v>
          </cell>
        </row>
        <row r="319">
          <cell r="A319">
            <v>57</v>
          </cell>
          <cell r="H319">
            <v>325</v>
          </cell>
        </row>
        <row r="320">
          <cell r="A320">
            <v>201</v>
          </cell>
          <cell r="H320">
            <v>6700</v>
          </cell>
        </row>
        <row r="321">
          <cell r="A321">
            <v>208</v>
          </cell>
          <cell r="H321">
            <v>540</v>
          </cell>
        </row>
        <row r="322">
          <cell r="A322">
            <v>674</v>
          </cell>
          <cell r="H322">
            <v>3</v>
          </cell>
        </row>
        <row r="323">
          <cell r="A323">
            <v>126</v>
          </cell>
          <cell r="H323">
            <v>340</v>
          </cell>
        </row>
        <row r="324">
          <cell r="A324">
            <v>26</v>
          </cell>
          <cell r="H324">
            <v>1090</v>
          </cell>
        </row>
        <row r="325">
          <cell r="A325">
            <v>66</v>
          </cell>
          <cell r="H325">
            <v>1100</v>
          </cell>
        </row>
        <row r="326">
          <cell r="A326">
            <v>208</v>
          </cell>
          <cell r="H326">
            <v>1050</v>
          </cell>
        </row>
        <row r="327">
          <cell r="A327">
            <v>65</v>
          </cell>
          <cell r="H327">
            <v>1500</v>
          </cell>
        </row>
        <row r="328">
          <cell r="A328">
            <v>208</v>
          </cell>
          <cell r="H328">
            <v>1070</v>
          </cell>
        </row>
        <row r="329">
          <cell r="A329">
            <v>208</v>
          </cell>
          <cell r="H329">
            <v>990</v>
          </cell>
        </row>
        <row r="330">
          <cell r="A330">
            <v>692</v>
          </cell>
          <cell r="H330">
            <v>550</v>
          </cell>
        </row>
        <row r="331">
          <cell r="A331">
            <v>349</v>
          </cell>
          <cell r="H331">
            <v>25</v>
          </cell>
        </row>
        <row r="332">
          <cell r="A332">
            <v>126</v>
          </cell>
          <cell r="H332">
            <v>725</v>
          </cell>
        </row>
        <row r="333">
          <cell r="A333">
            <v>698</v>
          </cell>
          <cell r="H333">
            <v>875</v>
          </cell>
        </row>
        <row r="334">
          <cell r="A334">
            <v>703</v>
          </cell>
          <cell r="H334">
            <v>475</v>
          </cell>
        </row>
        <row r="335">
          <cell r="A335">
            <v>702</v>
          </cell>
          <cell r="H335">
            <v>1480</v>
          </cell>
        </row>
        <row r="336">
          <cell r="A336">
            <v>702</v>
          </cell>
          <cell r="H336">
            <v>400</v>
          </cell>
        </row>
        <row r="337">
          <cell r="A337">
            <v>180</v>
          </cell>
          <cell r="H337">
            <v>890</v>
          </cell>
        </row>
        <row r="338">
          <cell r="A338">
            <v>187</v>
          </cell>
          <cell r="H338">
            <v>1210</v>
          </cell>
        </row>
        <row r="339">
          <cell r="A339">
            <v>702</v>
          </cell>
          <cell r="H339">
            <v>1300</v>
          </cell>
        </row>
        <row r="340">
          <cell r="A340">
            <v>683</v>
          </cell>
          <cell r="H340">
            <v>700</v>
          </cell>
        </row>
        <row r="341">
          <cell r="A341">
            <v>156</v>
          </cell>
          <cell r="H341">
            <v>2500</v>
          </cell>
        </row>
        <row r="342">
          <cell r="A342">
            <v>683</v>
          </cell>
          <cell r="H342">
            <v>640</v>
          </cell>
        </row>
        <row r="343">
          <cell r="A343">
            <v>702</v>
          </cell>
          <cell r="H343">
            <v>2220</v>
          </cell>
        </row>
        <row r="344">
          <cell r="A344">
            <v>683</v>
          </cell>
          <cell r="H344">
            <v>1000</v>
          </cell>
        </row>
        <row r="345">
          <cell r="A345">
            <v>66</v>
          </cell>
          <cell r="H345">
            <v>20</v>
          </cell>
        </row>
        <row r="346">
          <cell r="A346">
            <v>706</v>
          </cell>
          <cell r="H346">
            <v>1590</v>
          </cell>
        </row>
        <row r="347">
          <cell r="A347">
            <v>702</v>
          </cell>
          <cell r="H347">
            <v>13330</v>
          </cell>
        </row>
        <row r="348">
          <cell r="A348">
            <v>224</v>
          </cell>
          <cell r="H348">
            <v>2000</v>
          </cell>
        </row>
        <row r="349">
          <cell r="A349">
            <v>181</v>
          </cell>
          <cell r="H349">
            <v>28</v>
          </cell>
        </row>
        <row r="350">
          <cell r="A350">
            <v>557</v>
          </cell>
          <cell r="H350">
            <v>770</v>
          </cell>
        </row>
        <row r="351">
          <cell r="A351">
            <v>9</v>
          </cell>
          <cell r="H351">
            <v>12200</v>
          </cell>
        </row>
        <row r="352">
          <cell r="A352">
            <v>136</v>
          </cell>
          <cell r="H352">
            <v>1520</v>
          </cell>
        </row>
        <row r="353">
          <cell r="A353">
            <v>709</v>
          </cell>
          <cell r="H353">
            <v>3600</v>
          </cell>
        </row>
        <row r="354">
          <cell r="A354">
            <v>707</v>
          </cell>
          <cell r="H354">
            <v>1900</v>
          </cell>
        </row>
        <row r="355">
          <cell r="A355">
            <v>708</v>
          </cell>
          <cell r="H355">
            <v>1300</v>
          </cell>
        </row>
        <row r="356">
          <cell r="A356">
            <v>710</v>
          </cell>
          <cell r="H356">
            <v>19267</v>
          </cell>
        </row>
        <row r="357">
          <cell r="A357">
            <v>710</v>
          </cell>
          <cell r="H357">
            <v>1500</v>
          </cell>
        </row>
        <row r="358">
          <cell r="A358">
            <v>710</v>
          </cell>
          <cell r="H358">
            <v>3301</v>
          </cell>
        </row>
        <row r="359">
          <cell r="A359">
            <v>711</v>
          </cell>
          <cell r="H359">
            <v>755</v>
          </cell>
        </row>
        <row r="360">
          <cell r="A360">
            <v>711</v>
          </cell>
          <cell r="H360">
            <v>5145</v>
          </cell>
        </row>
        <row r="361">
          <cell r="A361">
            <v>711</v>
          </cell>
          <cell r="H361">
            <v>22100</v>
          </cell>
        </row>
        <row r="362">
          <cell r="A362">
            <v>708</v>
          </cell>
          <cell r="H362">
            <v>263</v>
          </cell>
        </row>
        <row r="363">
          <cell r="A363">
            <v>147</v>
          </cell>
          <cell r="H363">
            <v>25900</v>
          </cell>
        </row>
        <row r="364">
          <cell r="A364">
            <v>148</v>
          </cell>
          <cell r="H364">
            <v>7100</v>
          </cell>
        </row>
        <row r="365">
          <cell r="A365">
            <v>180</v>
          </cell>
          <cell r="H365">
            <v>55</v>
          </cell>
        </row>
        <row r="366">
          <cell r="A366">
            <v>126</v>
          </cell>
          <cell r="H366">
            <v>1025</v>
          </cell>
        </row>
        <row r="367">
          <cell r="A367">
            <v>178</v>
          </cell>
          <cell r="H367">
            <v>740</v>
          </cell>
        </row>
        <row r="368">
          <cell r="A368">
            <v>226</v>
          </cell>
          <cell r="H368">
            <v>800</v>
          </cell>
        </row>
        <row r="369">
          <cell r="A369">
            <v>226</v>
          </cell>
          <cell r="H369">
            <v>750</v>
          </cell>
        </row>
        <row r="370">
          <cell r="A370">
            <v>11</v>
          </cell>
          <cell r="H370">
            <v>2650</v>
          </cell>
        </row>
        <row r="371">
          <cell r="A371">
            <v>692</v>
          </cell>
          <cell r="H371">
            <v>2000</v>
          </cell>
        </row>
        <row r="372">
          <cell r="A372">
            <v>9</v>
          </cell>
          <cell r="H372">
            <v>40</v>
          </cell>
        </row>
        <row r="373">
          <cell r="A373">
            <v>561</v>
          </cell>
          <cell r="H373">
            <v>270</v>
          </cell>
        </row>
        <row r="374">
          <cell r="A374">
            <v>708</v>
          </cell>
          <cell r="H374">
            <v>760</v>
          </cell>
        </row>
        <row r="375">
          <cell r="A375">
            <v>42</v>
          </cell>
          <cell r="H375">
            <v>200</v>
          </cell>
        </row>
        <row r="376">
          <cell r="A376">
            <v>707</v>
          </cell>
          <cell r="H376">
            <v>70</v>
          </cell>
        </row>
        <row r="377">
          <cell r="A377">
            <v>198</v>
          </cell>
          <cell r="H377">
            <v>467</v>
          </cell>
        </row>
        <row r="378">
          <cell r="A378">
            <v>657</v>
          </cell>
          <cell r="H378">
            <v>67</v>
          </cell>
        </row>
        <row r="379">
          <cell r="A379">
            <v>61</v>
          </cell>
          <cell r="H379">
            <v>20</v>
          </cell>
        </row>
        <row r="380">
          <cell r="A380">
            <v>3</v>
          </cell>
          <cell r="H380">
            <v>1000</v>
          </cell>
        </row>
        <row r="381">
          <cell r="A381">
            <v>3</v>
          </cell>
          <cell r="H381">
            <v>2250</v>
          </cell>
        </row>
        <row r="382">
          <cell r="A382">
            <v>713</v>
          </cell>
          <cell r="H382">
            <v>3550</v>
          </cell>
        </row>
        <row r="383">
          <cell r="A383">
            <v>553</v>
          </cell>
          <cell r="H383">
            <v>120</v>
          </cell>
        </row>
        <row r="384">
          <cell r="A384">
            <v>9</v>
          </cell>
          <cell r="H384">
            <v>1880</v>
          </cell>
        </row>
        <row r="385">
          <cell r="A385">
            <v>9</v>
          </cell>
          <cell r="H385">
            <v>140</v>
          </cell>
        </row>
        <row r="386">
          <cell r="A386">
            <v>196</v>
          </cell>
          <cell r="H386">
            <v>2080</v>
          </cell>
        </row>
        <row r="387">
          <cell r="A387">
            <v>452</v>
          </cell>
          <cell r="H387">
            <v>325</v>
          </cell>
        </row>
        <row r="388">
          <cell r="A388">
            <v>700</v>
          </cell>
          <cell r="H388">
            <v>3000</v>
          </cell>
        </row>
        <row r="389">
          <cell r="A389">
            <v>655</v>
          </cell>
          <cell r="H389">
            <v>1140</v>
          </cell>
        </row>
        <row r="390">
          <cell r="A390">
            <v>17</v>
          </cell>
          <cell r="H390">
            <v>50</v>
          </cell>
        </row>
        <row r="391">
          <cell r="A391">
            <v>188</v>
          </cell>
          <cell r="H391">
            <v>6</v>
          </cell>
        </row>
        <row r="392">
          <cell r="A392">
            <v>710</v>
          </cell>
          <cell r="H392">
            <v>5000</v>
          </cell>
        </row>
        <row r="393">
          <cell r="A393">
            <v>702</v>
          </cell>
          <cell r="H393">
            <v>1800</v>
          </cell>
        </row>
        <row r="394">
          <cell r="A394">
            <v>715</v>
          </cell>
          <cell r="H394">
            <v>11570</v>
          </cell>
        </row>
        <row r="395">
          <cell r="A395">
            <v>78</v>
          </cell>
          <cell r="H395">
            <v>2650</v>
          </cell>
        </row>
        <row r="396">
          <cell r="A396">
            <v>85</v>
          </cell>
          <cell r="H396">
            <v>1990</v>
          </cell>
        </row>
        <row r="397">
          <cell r="A397">
            <v>682</v>
          </cell>
          <cell r="H397">
            <v>4700</v>
          </cell>
        </row>
        <row r="398">
          <cell r="A398">
            <v>715</v>
          </cell>
          <cell r="H398">
            <v>8500</v>
          </cell>
        </row>
        <row r="399">
          <cell r="A399">
            <v>78</v>
          </cell>
          <cell r="H399">
            <v>1610</v>
          </cell>
        </row>
        <row r="400">
          <cell r="A400">
            <v>156</v>
          </cell>
          <cell r="H400">
            <v>2400</v>
          </cell>
        </row>
        <row r="401">
          <cell r="A401">
            <v>156</v>
          </cell>
          <cell r="H401">
            <v>2400</v>
          </cell>
        </row>
        <row r="402">
          <cell r="A402">
            <v>9</v>
          </cell>
          <cell r="H402">
            <v>195</v>
          </cell>
        </row>
        <row r="403">
          <cell r="A403">
            <v>553</v>
          </cell>
          <cell r="H403">
            <v>250</v>
          </cell>
        </row>
        <row r="404">
          <cell r="A404">
            <v>665</v>
          </cell>
          <cell r="H404">
            <v>100</v>
          </cell>
        </row>
        <row r="405">
          <cell r="A405">
            <v>156</v>
          </cell>
          <cell r="H405">
            <v>60</v>
          </cell>
        </row>
        <row r="406">
          <cell r="A406">
            <v>681</v>
          </cell>
          <cell r="H406">
            <v>250</v>
          </cell>
        </row>
        <row r="407">
          <cell r="A407">
            <v>188</v>
          </cell>
          <cell r="H407">
            <v>22</v>
          </cell>
        </row>
        <row r="408">
          <cell r="A408">
            <v>708</v>
          </cell>
          <cell r="H408">
            <v>200</v>
          </cell>
        </row>
        <row r="409">
          <cell r="A409">
            <v>105</v>
          </cell>
          <cell r="H409">
            <v>1100</v>
          </cell>
        </row>
        <row r="410">
          <cell r="A410">
            <v>61</v>
          </cell>
          <cell r="H410">
            <v>10</v>
          </cell>
        </row>
        <row r="411">
          <cell r="A411">
            <v>717</v>
          </cell>
          <cell r="H411">
            <v>2200</v>
          </cell>
        </row>
        <row r="412">
          <cell r="A412">
            <v>188</v>
          </cell>
          <cell r="H412">
            <v>6</v>
          </cell>
        </row>
        <row r="413">
          <cell r="A413">
            <v>9</v>
          </cell>
          <cell r="H413">
            <v>63</v>
          </cell>
        </row>
        <row r="414">
          <cell r="A414">
            <v>349</v>
          </cell>
          <cell r="H414">
            <v>38</v>
          </cell>
        </row>
        <row r="415">
          <cell r="A415">
            <v>3</v>
          </cell>
          <cell r="H415">
            <v>68</v>
          </cell>
        </row>
        <row r="416">
          <cell r="A416">
            <v>699</v>
          </cell>
          <cell r="H416">
            <v>35</v>
          </cell>
        </row>
        <row r="417">
          <cell r="A417">
            <v>700</v>
          </cell>
          <cell r="H417">
            <v>300</v>
          </cell>
        </row>
        <row r="418">
          <cell r="A418">
            <v>681</v>
          </cell>
          <cell r="H418">
            <v>1825</v>
          </cell>
        </row>
        <row r="419">
          <cell r="A419">
            <v>159</v>
          </cell>
          <cell r="H419">
            <v>460</v>
          </cell>
        </row>
        <row r="420">
          <cell r="A420">
            <v>707</v>
          </cell>
          <cell r="H420">
            <v>2125</v>
          </cell>
        </row>
        <row r="421">
          <cell r="A421">
            <v>193</v>
          </cell>
          <cell r="H421">
            <v>530</v>
          </cell>
        </row>
        <row r="422">
          <cell r="A422">
            <v>188</v>
          </cell>
          <cell r="H422">
            <v>6</v>
          </cell>
        </row>
        <row r="423">
          <cell r="A423">
            <v>11</v>
          </cell>
          <cell r="H423">
            <v>3750</v>
          </cell>
        </row>
        <row r="424">
          <cell r="A424">
            <v>66</v>
          </cell>
          <cell r="H424">
            <v>13</v>
          </cell>
        </row>
        <row r="425">
          <cell r="A425">
            <v>704</v>
          </cell>
          <cell r="H425">
            <v>1750</v>
          </cell>
        </row>
        <row r="426">
          <cell r="A426">
            <v>9</v>
          </cell>
          <cell r="H426">
            <v>415</v>
          </cell>
        </row>
        <row r="427">
          <cell r="A427">
            <v>19</v>
          </cell>
          <cell r="H427">
            <v>1</v>
          </cell>
        </row>
        <row r="428">
          <cell r="A428">
            <v>700</v>
          </cell>
          <cell r="H428">
            <v>220</v>
          </cell>
        </row>
        <row r="429">
          <cell r="A429">
            <v>704</v>
          </cell>
          <cell r="H429">
            <v>1500</v>
          </cell>
        </row>
        <row r="430">
          <cell r="A430">
            <v>210</v>
          </cell>
          <cell r="H430">
            <v>43</v>
          </cell>
        </row>
        <row r="431">
          <cell r="A431">
            <v>717</v>
          </cell>
          <cell r="H431">
            <v>1000</v>
          </cell>
        </row>
        <row r="432">
          <cell r="A432">
            <v>136</v>
          </cell>
          <cell r="H432">
            <v>2000</v>
          </cell>
        </row>
        <row r="433">
          <cell r="A433">
            <v>47</v>
          </cell>
          <cell r="H433">
            <v>7</v>
          </cell>
        </row>
        <row r="434">
          <cell r="A434">
            <v>47</v>
          </cell>
          <cell r="H434">
            <v>7</v>
          </cell>
        </row>
        <row r="435">
          <cell r="A435">
            <v>354</v>
          </cell>
          <cell r="H435">
            <v>30</v>
          </cell>
        </row>
        <row r="436">
          <cell r="A436">
            <v>354</v>
          </cell>
          <cell r="H436">
            <v>30</v>
          </cell>
        </row>
        <row r="437">
          <cell r="A437">
            <v>354</v>
          </cell>
          <cell r="H437">
            <v>30</v>
          </cell>
        </row>
        <row r="438">
          <cell r="A438">
            <v>699</v>
          </cell>
          <cell r="H438">
            <v>63</v>
          </cell>
        </row>
        <row r="439">
          <cell r="A439">
            <v>354</v>
          </cell>
          <cell r="H439">
            <v>16</v>
          </cell>
        </row>
        <row r="440">
          <cell r="A440">
            <v>156</v>
          </cell>
          <cell r="H440">
            <v>4980</v>
          </cell>
        </row>
        <row r="441">
          <cell r="A441">
            <v>486</v>
          </cell>
          <cell r="H441">
            <v>60</v>
          </cell>
        </row>
        <row r="442">
          <cell r="A442">
            <v>105</v>
          </cell>
          <cell r="H442">
            <v>775</v>
          </cell>
        </row>
        <row r="443">
          <cell r="A443">
            <v>354</v>
          </cell>
          <cell r="H443">
            <v>26</v>
          </cell>
        </row>
        <row r="444">
          <cell r="A444">
            <v>47</v>
          </cell>
          <cell r="H444">
            <v>7</v>
          </cell>
        </row>
        <row r="445">
          <cell r="A445">
            <v>717</v>
          </cell>
          <cell r="H445">
            <v>2230</v>
          </cell>
        </row>
        <row r="446">
          <cell r="A446">
            <v>88</v>
          </cell>
          <cell r="H446">
            <v>875</v>
          </cell>
        </row>
        <row r="447">
          <cell r="A447">
            <v>709</v>
          </cell>
          <cell r="H447">
            <v>10</v>
          </cell>
        </row>
        <row r="448">
          <cell r="A448">
            <v>66</v>
          </cell>
          <cell r="H448">
            <v>50</v>
          </cell>
        </row>
        <row r="449">
          <cell r="A449">
            <v>93</v>
          </cell>
          <cell r="H449">
            <v>15</v>
          </cell>
        </row>
        <row r="450">
          <cell r="A450">
            <v>43</v>
          </cell>
          <cell r="H450">
            <v>200</v>
          </cell>
        </row>
        <row r="451">
          <cell r="A451">
            <v>88</v>
          </cell>
          <cell r="H451">
            <v>2400</v>
          </cell>
        </row>
        <row r="452">
          <cell r="A452">
            <v>666</v>
          </cell>
          <cell r="H452">
            <v>725</v>
          </cell>
        </row>
        <row r="453">
          <cell r="A453">
            <v>1</v>
          </cell>
          <cell r="H453">
            <v>221</v>
          </cell>
        </row>
        <row r="454">
          <cell r="A454">
            <v>17</v>
          </cell>
          <cell r="H454">
            <v>111</v>
          </cell>
        </row>
        <row r="455">
          <cell r="A455">
            <v>708</v>
          </cell>
          <cell r="H455">
            <v>85</v>
          </cell>
        </row>
        <row r="456">
          <cell r="A456">
            <v>16</v>
          </cell>
          <cell r="H456">
            <v>80</v>
          </cell>
        </row>
        <row r="457">
          <cell r="A457">
            <v>707</v>
          </cell>
          <cell r="H457">
            <v>400</v>
          </cell>
        </row>
        <row r="458">
          <cell r="A458">
            <v>178</v>
          </cell>
          <cell r="H458">
            <v>165</v>
          </cell>
        </row>
        <row r="459">
          <cell r="A459">
            <v>349</v>
          </cell>
          <cell r="H459">
            <v>20</v>
          </cell>
        </row>
        <row r="460">
          <cell r="A460">
            <v>675</v>
          </cell>
          <cell r="H460">
            <v>1000</v>
          </cell>
        </row>
        <row r="461">
          <cell r="A461">
            <v>155</v>
          </cell>
          <cell r="H461">
            <v>195</v>
          </cell>
        </row>
        <row r="462">
          <cell r="A462">
            <v>716</v>
          </cell>
          <cell r="H462">
            <v>59</v>
          </cell>
        </row>
        <row r="463">
          <cell r="A463">
            <v>27</v>
          </cell>
          <cell r="H463">
            <v>28000</v>
          </cell>
        </row>
        <row r="464">
          <cell r="A464">
            <v>689</v>
          </cell>
          <cell r="H464">
            <v>172000</v>
          </cell>
        </row>
        <row r="465">
          <cell r="A465">
            <v>707</v>
          </cell>
          <cell r="H465">
            <v>1350</v>
          </cell>
        </row>
        <row r="466">
          <cell r="A466">
            <v>704</v>
          </cell>
          <cell r="H466">
            <v>950</v>
          </cell>
        </row>
        <row r="467">
          <cell r="A467">
            <v>88</v>
          </cell>
          <cell r="H467">
            <v>1600</v>
          </cell>
        </row>
        <row r="468">
          <cell r="A468">
            <v>723</v>
          </cell>
          <cell r="H468">
            <v>130</v>
          </cell>
        </row>
        <row r="469">
          <cell r="A469">
            <v>3</v>
          </cell>
          <cell r="H469">
            <v>720</v>
          </cell>
        </row>
        <row r="470">
          <cell r="A470">
            <v>713</v>
          </cell>
          <cell r="H470">
            <v>2300</v>
          </cell>
        </row>
        <row r="471">
          <cell r="A471">
            <v>708</v>
          </cell>
          <cell r="H471">
            <v>950</v>
          </cell>
        </row>
        <row r="472">
          <cell r="A472">
            <v>179</v>
          </cell>
          <cell r="H472">
            <v>4950</v>
          </cell>
        </row>
        <row r="473">
          <cell r="A473">
            <v>68</v>
          </cell>
          <cell r="H473">
            <v>38</v>
          </cell>
        </row>
        <row r="474">
          <cell r="A474">
            <v>78</v>
          </cell>
          <cell r="H474">
            <v>2000</v>
          </cell>
        </row>
        <row r="475">
          <cell r="A475">
            <v>353</v>
          </cell>
          <cell r="H475">
            <v>6</v>
          </cell>
        </row>
        <row r="476">
          <cell r="A476">
            <v>42</v>
          </cell>
          <cell r="H476">
            <v>30</v>
          </cell>
        </row>
        <row r="477">
          <cell r="A477">
            <v>713</v>
          </cell>
          <cell r="H477">
            <v>290</v>
          </cell>
        </row>
        <row r="478">
          <cell r="A478">
            <v>719</v>
          </cell>
          <cell r="H478">
            <v>29193</v>
          </cell>
        </row>
        <row r="479">
          <cell r="A479">
            <v>717</v>
          </cell>
          <cell r="H479">
            <v>2100</v>
          </cell>
        </row>
        <row r="480">
          <cell r="A480">
            <v>730</v>
          </cell>
          <cell r="H480">
            <v>18176</v>
          </cell>
        </row>
        <row r="481">
          <cell r="A481">
            <v>713</v>
          </cell>
          <cell r="H481">
            <v>125</v>
          </cell>
        </row>
        <row r="482">
          <cell r="A482">
            <v>719</v>
          </cell>
          <cell r="H482">
            <v>1300</v>
          </cell>
        </row>
        <row r="483">
          <cell r="A483">
            <v>720</v>
          </cell>
          <cell r="H483">
            <v>8970</v>
          </cell>
        </row>
        <row r="484">
          <cell r="A484">
            <v>1</v>
          </cell>
          <cell r="H484">
            <v>30</v>
          </cell>
        </row>
        <row r="485">
          <cell r="A485">
            <v>9</v>
          </cell>
          <cell r="H485">
            <v>600</v>
          </cell>
        </row>
        <row r="486">
          <cell r="A486">
            <v>353</v>
          </cell>
          <cell r="H486">
            <v>40</v>
          </cell>
        </row>
        <row r="487">
          <cell r="A487">
            <v>156</v>
          </cell>
          <cell r="H487">
            <v>77</v>
          </cell>
        </row>
        <row r="488">
          <cell r="A488">
            <v>681</v>
          </cell>
          <cell r="H488">
            <v>250</v>
          </cell>
        </row>
        <row r="489">
          <cell r="A489">
            <v>198</v>
          </cell>
          <cell r="H489">
            <v>2850</v>
          </cell>
        </row>
        <row r="490">
          <cell r="A490">
            <v>726</v>
          </cell>
          <cell r="H490">
            <v>800</v>
          </cell>
        </row>
        <row r="491">
          <cell r="A491">
            <v>720</v>
          </cell>
          <cell r="H491">
            <v>3090</v>
          </cell>
        </row>
        <row r="492">
          <cell r="A492">
            <v>677</v>
          </cell>
          <cell r="H492">
            <v>950</v>
          </cell>
        </row>
        <row r="493">
          <cell r="A493">
            <v>489</v>
          </cell>
          <cell r="H493">
            <v>400</v>
          </cell>
        </row>
        <row r="494">
          <cell r="A494">
            <v>157</v>
          </cell>
          <cell r="H494">
            <v>1170</v>
          </cell>
        </row>
        <row r="495">
          <cell r="A495">
            <v>110</v>
          </cell>
          <cell r="H495">
            <v>2500</v>
          </cell>
        </row>
        <row r="496">
          <cell r="A496">
            <v>720</v>
          </cell>
          <cell r="H496">
            <v>3800</v>
          </cell>
        </row>
        <row r="497">
          <cell r="A497">
            <v>720</v>
          </cell>
          <cell r="H497">
            <v>2200</v>
          </cell>
        </row>
        <row r="498">
          <cell r="A498">
            <v>124</v>
          </cell>
          <cell r="H498">
            <v>3750</v>
          </cell>
        </row>
        <row r="499">
          <cell r="A499">
            <v>1</v>
          </cell>
          <cell r="H499">
            <v>18</v>
          </cell>
        </row>
        <row r="500">
          <cell r="A500">
            <v>355</v>
          </cell>
          <cell r="H500">
            <v>37</v>
          </cell>
        </row>
        <row r="501">
          <cell r="A501">
            <v>557</v>
          </cell>
          <cell r="H501">
            <v>1500</v>
          </cell>
        </row>
        <row r="502">
          <cell r="A502">
            <v>11</v>
          </cell>
          <cell r="H502">
            <v>875</v>
          </cell>
        </row>
        <row r="503">
          <cell r="A503">
            <v>709</v>
          </cell>
          <cell r="H503">
            <v>10</v>
          </cell>
        </row>
        <row r="504">
          <cell r="A504">
            <v>709</v>
          </cell>
          <cell r="H504">
            <v>6</v>
          </cell>
        </row>
        <row r="505">
          <cell r="A505">
            <v>557</v>
          </cell>
          <cell r="H505">
            <v>1200</v>
          </cell>
        </row>
        <row r="506">
          <cell r="A506">
            <v>705</v>
          </cell>
          <cell r="H506">
            <v>5150</v>
          </cell>
        </row>
        <row r="507">
          <cell r="A507">
            <v>354</v>
          </cell>
          <cell r="H507">
            <v>15</v>
          </cell>
        </row>
        <row r="508">
          <cell r="A508">
            <v>724</v>
          </cell>
          <cell r="H508">
            <v>400</v>
          </cell>
        </row>
        <row r="509">
          <cell r="A509">
            <v>726</v>
          </cell>
          <cell r="H509">
            <v>263</v>
          </cell>
        </row>
        <row r="510">
          <cell r="A510">
            <v>720</v>
          </cell>
          <cell r="H510">
            <v>5200</v>
          </cell>
        </row>
        <row r="511">
          <cell r="A511">
            <v>190</v>
          </cell>
          <cell r="H511">
            <v>104</v>
          </cell>
        </row>
        <row r="512">
          <cell r="A512">
            <v>133</v>
          </cell>
          <cell r="H512">
            <v>280</v>
          </cell>
        </row>
        <row r="513">
          <cell r="A513">
            <v>47</v>
          </cell>
          <cell r="H513">
            <v>18</v>
          </cell>
        </row>
        <row r="514">
          <cell r="A514">
            <v>662</v>
          </cell>
          <cell r="H514">
            <v>78</v>
          </cell>
        </row>
        <row r="515">
          <cell r="A515">
            <v>9</v>
          </cell>
          <cell r="H515">
            <v>600</v>
          </cell>
        </row>
        <row r="516">
          <cell r="A516">
            <v>184</v>
          </cell>
          <cell r="H516">
            <v>200</v>
          </cell>
        </row>
        <row r="517">
          <cell r="A517">
            <v>42</v>
          </cell>
          <cell r="H517">
            <v>415</v>
          </cell>
        </row>
        <row r="518">
          <cell r="A518">
            <v>9</v>
          </cell>
          <cell r="H518">
            <v>2100</v>
          </cell>
        </row>
        <row r="519">
          <cell r="A519">
            <v>77</v>
          </cell>
          <cell r="H519">
            <v>1680</v>
          </cell>
        </row>
        <row r="520">
          <cell r="A520">
            <v>9</v>
          </cell>
          <cell r="H520">
            <v>175</v>
          </cell>
        </row>
        <row r="521">
          <cell r="A521">
            <v>9</v>
          </cell>
          <cell r="H521">
            <v>180</v>
          </cell>
        </row>
        <row r="522">
          <cell r="A522">
            <v>196</v>
          </cell>
          <cell r="H522">
            <v>1600</v>
          </cell>
        </row>
        <row r="523">
          <cell r="A523">
            <v>723</v>
          </cell>
          <cell r="H523">
            <v>140</v>
          </cell>
        </row>
        <row r="524">
          <cell r="A524">
            <v>719</v>
          </cell>
          <cell r="H524">
            <v>1017</v>
          </cell>
        </row>
        <row r="525">
          <cell r="A525">
            <v>662</v>
          </cell>
          <cell r="H525">
            <v>65</v>
          </cell>
        </row>
        <row r="526">
          <cell r="A526">
            <v>159</v>
          </cell>
          <cell r="H526">
            <v>450</v>
          </cell>
        </row>
        <row r="527">
          <cell r="A527">
            <v>681</v>
          </cell>
          <cell r="H527">
            <v>1800</v>
          </cell>
        </row>
        <row r="528">
          <cell r="A528">
            <v>196</v>
          </cell>
          <cell r="H528">
            <v>415</v>
          </cell>
        </row>
        <row r="529">
          <cell r="A529">
            <v>42</v>
          </cell>
          <cell r="H529">
            <v>7625</v>
          </cell>
        </row>
        <row r="530">
          <cell r="A530">
            <v>180</v>
          </cell>
          <cell r="H530">
            <v>1250</v>
          </cell>
        </row>
        <row r="531">
          <cell r="A531">
            <v>718</v>
          </cell>
          <cell r="H531">
            <v>30</v>
          </cell>
        </row>
        <row r="532">
          <cell r="A532">
            <v>720</v>
          </cell>
          <cell r="H532">
            <v>6870</v>
          </cell>
        </row>
        <row r="533">
          <cell r="A533">
            <v>720</v>
          </cell>
          <cell r="H533">
            <v>4142</v>
          </cell>
        </row>
        <row r="534">
          <cell r="A534">
            <v>61</v>
          </cell>
          <cell r="H534">
            <v>8</v>
          </cell>
        </row>
        <row r="535">
          <cell r="A535">
            <v>68</v>
          </cell>
          <cell r="H535">
            <v>5</v>
          </cell>
        </row>
        <row r="536">
          <cell r="A536">
            <v>9</v>
          </cell>
          <cell r="H536">
            <v>50</v>
          </cell>
        </row>
        <row r="537">
          <cell r="A537">
            <v>178</v>
          </cell>
          <cell r="H537">
            <v>1800</v>
          </cell>
        </row>
        <row r="538">
          <cell r="A538">
            <v>731</v>
          </cell>
          <cell r="H538">
            <v>120</v>
          </cell>
        </row>
        <row r="539">
          <cell r="A539">
            <v>726</v>
          </cell>
          <cell r="H539">
            <v>1500</v>
          </cell>
        </row>
        <row r="540">
          <cell r="A540">
            <v>136</v>
          </cell>
          <cell r="H540">
            <v>1300</v>
          </cell>
        </row>
        <row r="541">
          <cell r="A541">
            <v>699</v>
          </cell>
          <cell r="H541">
            <v>150</v>
          </cell>
        </row>
        <row r="542">
          <cell r="A542">
            <v>11</v>
          </cell>
          <cell r="H542">
            <v>1500</v>
          </cell>
        </row>
        <row r="543">
          <cell r="A543">
            <v>720</v>
          </cell>
          <cell r="H543">
            <v>1500</v>
          </cell>
        </row>
        <row r="544">
          <cell r="A544">
            <v>720</v>
          </cell>
          <cell r="H544">
            <v>1370</v>
          </cell>
        </row>
        <row r="545">
          <cell r="A545">
            <v>180</v>
          </cell>
          <cell r="H545">
            <v>130</v>
          </cell>
        </row>
        <row r="546">
          <cell r="A546">
            <v>662</v>
          </cell>
          <cell r="H546">
            <v>50</v>
          </cell>
        </row>
        <row r="547">
          <cell r="A547">
            <v>720</v>
          </cell>
          <cell r="H547">
            <v>2000</v>
          </cell>
        </row>
        <row r="548">
          <cell r="A548">
            <v>734</v>
          </cell>
          <cell r="H548">
            <v>15</v>
          </cell>
        </row>
        <row r="549">
          <cell r="A549">
            <v>732</v>
          </cell>
          <cell r="H549">
            <v>375</v>
          </cell>
        </row>
        <row r="550">
          <cell r="A550">
            <v>731</v>
          </cell>
          <cell r="H550">
            <v>50</v>
          </cell>
        </row>
        <row r="551">
          <cell r="A551">
            <v>719</v>
          </cell>
          <cell r="H551">
            <v>5975</v>
          </cell>
        </row>
        <row r="552">
          <cell r="A552">
            <v>47</v>
          </cell>
          <cell r="H552">
            <v>45</v>
          </cell>
        </row>
        <row r="553">
          <cell r="A553">
            <v>224</v>
          </cell>
          <cell r="H553">
            <v>2100</v>
          </cell>
        </row>
      </sheetData>
      <sheetData sheetId="1" refreshError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0EDF20-404D-4551-A9C3-28DD40FFC3F9}" name="Table1342" displayName="Table1342" ref="A2:N8" totalsRowShown="0" headerRowDxfId="18" dataDxfId="17" headerRowBorderDxfId="15" tableBorderDxfId="16" totalsRowBorderDxfId="14">
  <tableColumns count="14">
    <tableColumn id="1" xr3:uid="{B8E2233A-1395-45BF-9B87-D8ED13EF8DEB}" name="Department" dataDxfId="13"/>
    <tableColumn id="9" xr3:uid="{480D86EA-C935-4473-92E1-BF3B7C5F845B}" name="QTY" dataDxfId="12"/>
    <tableColumn id="4" xr3:uid="{094A02BF-2B20-4533-BC65-B8695D9E0BDF}" name="No. Tabs" dataDxfId="11"/>
    <tableColumn id="7" xr3:uid="{1D34AA8B-6414-4630-99C9-1707D2140B72}" name="Set-up $" dataDxfId="10"/>
    <tableColumn id="8" xr3:uid="{6242B679-F10C-4138-A758-AE00405AE985}" name="Per Tab $" dataDxfId="9"/>
    <tableColumn id="13" xr3:uid="{5BF52950-980A-4297-8FC2-82C54672141D}" name="Per hour Rate" dataDxfId="8"/>
    <tableColumn id="14" xr3:uid="{0B7E74D4-5BA4-4ACE-8A36-487EE858DD7B}" name="Ink head cost" dataDxfId="7"/>
    <tableColumn id="10" xr3:uid="{425011C2-8250-4D2A-B82D-5C91B79036A1}" name="Run Speed" dataDxfId="6"/>
    <tableColumn id="2" xr3:uid="{7BCA6E73-8BA2-44F4-B777-E0248D9074BB}" name="Tab Cost" dataDxfId="5">
      <calculatedColumnFormula>Table1342[[#This Row],[QTY]]*Table1342[[#This Row],[No. Tabs]]*Table1342[[#This Row],[Per Tab $]]</calculatedColumnFormula>
    </tableColumn>
    <tableColumn id="3" xr3:uid="{6F28341B-EDE0-418B-AB3E-ECDADF0C1295}" name="Run Cost  NO Inkjet" dataDxfId="4">
      <calculatedColumnFormula>Table1342[[#This Row],[QTY]]/Table1342[[#This Row],[Run Speed]]*Table1342[[#This Row],[Per hour Rate]]+Table1342[[#This Row],[Set-up $]]</calculatedColumnFormula>
    </tableColumn>
    <tableColumn id="12" xr3:uid="{9AA5BBB1-7B10-4195-A3FB-4AAA5F3ED0AB}" name="Inkjet Cost" dataDxfId="3">
      <calculatedColumnFormula>Table1342[[#This Row],[QTY]]*Table1342[[#This Row],[Ink head cost]]</calculatedColumnFormula>
    </tableColumn>
    <tableColumn id="5" xr3:uid="{3CB79FC8-D710-4768-8802-42C49510CCEF}" name="Total              Wafer Seal Only" dataDxfId="2">
      <calculatedColumnFormula>Table1342[[#This Row],[Run Cost  NO Inkjet]]+Table1342[[#This Row],[Tab Cost]]</calculatedColumnFormula>
    </tableColumn>
    <tableColumn id="11" xr3:uid="{5355F57A-E7CE-4F99-9063-7AAEAC96A814}" name="Total                   Ink Jet Only" dataDxfId="1">
      <calculatedColumnFormula>Table1342[[#This Row],[Inkjet Cost]]+Table1342[[#This Row],[Run Cost  NO Inkjet]]</calculatedColumnFormula>
    </tableColumn>
    <tableColumn id="6" xr3:uid="{6B7B2F9F-EE45-4E55-824B-BF0E9D1F1451}" name="Total Wafer Seal &amp; InkJet" dataDxfId="0">
      <calculatedColumnFormula>Table1342[[#This Row],[Inkjet Cost]]+Table1342[[#This Row],[Tab Cost]]+Table1342[[#This Row],[Run Cost  NO Inkjet]]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CAA5E-8FB0-4CEC-B21F-15B95788B692}">
  <dimension ref="A1:O8"/>
  <sheetViews>
    <sheetView tabSelected="1" workbookViewId="0">
      <selection activeCell="C11" sqref="C11"/>
    </sheetView>
  </sheetViews>
  <sheetFormatPr defaultRowHeight="15" x14ac:dyDescent="0.25"/>
  <cols>
    <col min="1" max="1" width="12.85546875" customWidth="1"/>
    <col min="3" max="3" width="11" style="23" customWidth="1"/>
    <col min="4" max="4" width="10.140625" style="23" hidden="1" customWidth="1"/>
    <col min="5" max="7" width="10.28515625" style="23" hidden="1" customWidth="1"/>
    <col min="8" max="8" width="10.140625" style="23" customWidth="1"/>
    <col min="9" max="9" width="10.140625" style="23" hidden="1" customWidth="1"/>
    <col min="10" max="11" width="11.140625" style="23" hidden="1" customWidth="1"/>
    <col min="12" max="13" width="15.7109375" customWidth="1"/>
    <col min="14" max="14" width="15.7109375" style="23" customWidth="1"/>
    <col min="15" max="15" width="27.7109375" customWidth="1"/>
  </cols>
  <sheetData>
    <row r="1" spans="1:15" ht="34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34.5" customHeight="1" x14ac:dyDescent="0.25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8" t="s">
        <v>9</v>
      </c>
      <c r="J2" s="8" t="s">
        <v>10</v>
      </c>
      <c r="K2" s="8" t="s">
        <v>11</v>
      </c>
      <c r="L2" s="9" t="s">
        <v>12</v>
      </c>
      <c r="M2" s="9" t="s">
        <v>13</v>
      </c>
      <c r="N2" s="10" t="s">
        <v>14</v>
      </c>
    </row>
    <row r="3" spans="1:15" ht="20.100000000000001" customHeight="1" x14ac:dyDescent="0.25">
      <c r="A3" s="11" t="s">
        <v>15</v>
      </c>
      <c r="B3" s="12">
        <v>50000</v>
      </c>
      <c r="C3" s="13">
        <v>2</v>
      </c>
      <c r="D3" s="14">
        <v>70</v>
      </c>
      <c r="E3" s="15">
        <v>2E-3</v>
      </c>
      <c r="F3" s="14">
        <v>35</v>
      </c>
      <c r="G3" s="16">
        <v>5.0000000000000001E-3</v>
      </c>
      <c r="H3" s="17">
        <v>1600</v>
      </c>
      <c r="I3" s="14">
        <f>Table1342[[#This Row],[QTY]]*Table1342[[#This Row],[No. Tabs]]*Table1342[[#This Row],[Per Tab $]]</f>
        <v>200</v>
      </c>
      <c r="J3" s="14">
        <f>Table1342[[#This Row],[QTY]]/Table1342[[#This Row],[Run Speed]]*Table1342[[#This Row],[Per hour Rate]]+Table1342[[#This Row],[Set-up $]]</f>
        <v>1163.75</v>
      </c>
      <c r="K3" s="14">
        <f>Table1342[[#This Row],[QTY]]*Table1342[[#This Row],[Ink head cost]]</f>
        <v>250</v>
      </c>
      <c r="L3" s="14">
        <f>Table1342[[#This Row],[Run Cost  NO Inkjet]]+Table1342[[#This Row],[Tab Cost]]</f>
        <v>1363.75</v>
      </c>
      <c r="M3" s="14">
        <f>Table1342[[#This Row],[Inkjet Cost]]+Table1342[[#This Row],[Run Cost  NO Inkjet]]</f>
        <v>1413.75</v>
      </c>
      <c r="N3" s="14">
        <f>Table1342[[#This Row],[Inkjet Cost]]+Table1342[[#This Row],[Tab Cost]]+Table1342[[#This Row],[Run Cost  NO Inkjet]]</f>
        <v>1613.75</v>
      </c>
      <c r="O3" s="18" t="s">
        <v>16</v>
      </c>
    </row>
    <row r="4" spans="1:15" ht="20.100000000000001" customHeight="1" x14ac:dyDescent="0.25">
      <c r="A4" s="11" t="s">
        <v>15</v>
      </c>
      <c r="B4" s="19">
        <v>25000</v>
      </c>
      <c r="C4" s="13">
        <v>2</v>
      </c>
      <c r="D4" s="14">
        <v>70</v>
      </c>
      <c r="E4" s="15">
        <v>2E-3</v>
      </c>
      <c r="F4" s="14">
        <v>35</v>
      </c>
      <c r="G4" s="16">
        <v>5.0000000000000001E-3</v>
      </c>
      <c r="H4" s="17">
        <v>1600</v>
      </c>
      <c r="I4" s="14">
        <f>Table1342[[#This Row],[QTY]]*Table1342[[#This Row],[No. Tabs]]*Table1342[[#This Row],[Per Tab $]]</f>
        <v>100</v>
      </c>
      <c r="J4" s="14">
        <f>Table1342[[#This Row],[QTY]]/Table1342[[#This Row],[Run Speed]]*Table1342[[#This Row],[Per hour Rate]]+Table1342[[#This Row],[Set-up $]]</f>
        <v>616.875</v>
      </c>
      <c r="K4" s="14">
        <f>Table1342[[#This Row],[QTY]]*Table1342[[#This Row],[Ink head cost]]</f>
        <v>125</v>
      </c>
      <c r="L4" s="14">
        <f>Table1342[[#This Row],[Run Cost  NO Inkjet]]+Table1342[[#This Row],[Tab Cost]]</f>
        <v>716.875</v>
      </c>
      <c r="M4" s="14">
        <f>Table1342[[#This Row],[Inkjet Cost]]+Table1342[[#This Row],[Run Cost  NO Inkjet]]</f>
        <v>741.875</v>
      </c>
      <c r="N4" s="14">
        <f>Table1342[[#This Row],[Inkjet Cost]]+Table1342[[#This Row],[Tab Cost]]+Table1342[[#This Row],[Run Cost  NO Inkjet]]</f>
        <v>841.875</v>
      </c>
      <c r="O4" s="18" t="s">
        <v>16</v>
      </c>
    </row>
    <row r="5" spans="1:15" ht="20.100000000000001" customHeight="1" x14ac:dyDescent="0.25">
      <c r="A5" s="11" t="s">
        <v>15</v>
      </c>
      <c r="B5" s="19">
        <v>15000</v>
      </c>
      <c r="C5" s="13">
        <v>2</v>
      </c>
      <c r="D5" s="14">
        <v>70</v>
      </c>
      <c r="E5" s="15">
        <v>2E-3</v>
      </c>
      <c r="F5" s="14">
        <v>35</v>
      </c>
      <c r="G5" s="16">
        <v>5.0000000000000001E-3</v>
      </c>
      <c r="H5" s="17">
        <v>1600</v>
      </c>
      <c r="I5" s="14">
        <f>Table1342[[#This Row],[QTY]]*Table1342[[#This Row],[No. Tabs]]*Table1342[[#This Row],[Per Tab $]]</f>
        <v>60</v>
      </c>
      <c r="J5" s="14">
        <f>Table1342[[#This Row],[QTY]]/Table1342[[#This Row],[Run Speed]]*Table1342[[#This Row],[Per hour Rate]]+Table1342[[#This Row],[Set-up $]]</f>
        <v>398.125</v>
      </c>
      <c r="K5" s="14">
        <f>Table1342[[#This Row],[QTY]]*Table1342[[#This Row],[Ink head cost]]</f>
        <v>75</v>
      </c>
      <c r="L5" s="14">
        <f>Table1342[[#This Row],[Run Cost  NO Inkjet]]+Table1342[[#This Row],[Tab Cost]]</f>
        <v>458.125</v>
      </c>
      <c r="M5" s="14">
        <f>Table1342[[#This Row],[Inkjet Cost]]+Table1342[[#This Row],[Run Cost  NO Inkjet]]</f>
        <v>473.125</v>
      </c>
      <c r="N5" s="14">
        <f>Table1342[[#This Row],[Inkjet Cost]]+Table1342[[#This Row],[Tab Cost]]+Table1342[[#This Row],[Run Cost  NO Inkjet]]</f>
        <v>533.125</v>
      </c>
      <c r="O5" s="18" t="s">
        <v>16</v>
      </c>
    </row>
    <row r="6" spans="1:15" ht="20.100000000000001" customHeight="1" x14ac:dyDescent="0.25">
      <c r="A6" s="11" t="s">
        <v>15</v>
      </c>
      <c r="B6" s="19">
        <v>10000</v>
      </c>
      <c r="C6" s="13">
        <v>2</v>
      </c>
      <c r="D6" s="14">
        <v>70</v>
      </c>
      <c r="E6" s="15">
        <v>2E-3</v>
      </c>
      <c r="F6" s="14">
        <v>35</v>
      </c>
      <c r="G6" s="16">
        <v>5.0000000000000001E-3</v>
      </c>
      <c r="H6" s="17">
        <v>1600</v>
      </c>
      <c r="I6" s="14">
        <f>Table1342[[#This Row],[QTY]]*Table1342[[#This Row],[No. Tabs]]*Table1342[[#This Row],[Per Tab $]]</f>
        <v>40</v>
      </c>
      <c r="J6" s="14">
        <f>Table1342[[#This Row],[QTY]]/Table1342[[#This Row],[Run Speed]]*Table1342[[#This Row],[Per hour Rate]]+Table1342[[#This Row],[Set-up $]]</f>
        <v>288.75</v>
      </c>
      <c r="K6" s="14">
        <f>Table1342[[#This Row],[QTY]]*Table1342[[#This Row],[Ink head cost]]</f>
        <v>50</v>
      </c>
      <c r="L6" s="14">
        <f>Table1342[[#This Row],[Run Cost  NO Inkjet]]+Table1342[[#This Row],[Tab Cost]]</f>
        <v>328.75</v>
      </c>
      <c r="M6" s="14">
        <f>Table1342[[#This Row],[Inkjet Cost]]+Table1342[[#This Row],[Run Cost  NO Inkjet]]</f>
        <v>338.75</v>
      </c>
      <c r="N6" s="14">
        <f>Table1342[[#This Row],[Inkjet Cost]]+Table1342[[#This Row],[Tab Cost]]+Table1342[[#This Row],[Run Cost  NO Inkjet]]</f>
        <v>378.75</v>
      </c>
      <c r="O6" s="18" t="s">
        <v>16</v>
      </c>
    </row>
    <row r="7" spans="1:15" ht="20.100000000000001" customHeight="1" x14ac:dyDescent="0.25">
      <c r="A7" s="11" t="s">
        <v>15</v>
      </c>
      <c r="B7" s="19">
        <v>7500</v>
      </c>
      <c r="C7" s="13">
        <v>2</v>
      </c>
      <c r="D7" s="14">
        <v>70</v>
      </c>
      <c r="E7" s="15">
        <v>2E-3</v>
      </c>
      <c r="F7" s="14">
        <v>35</v>
      </c>
      <c r="G7" s="16">
        <v>5.0000000000000001E-3</v>
      </c>
      <c r="H7" s="17">
        <v>1600</v>
      </c>
      <c r="I7" s="20">
        <f>Table1342[[#This Row],[QTY]]*Table1342[[#This Row],[No. Tabs]]*Table1342[[#This Row],[Per Tab $]]</f>
        <v>30</v>
      </c>
      <c r="J7" s="21">
        <f>Table1342[[#This Row],[QTY]]/Table1342[[#This Row],[Run Speed]]*Table1342[[#This Row],[Per hour Rate]]+Table1342[[#This Row],[Set-up $]]</f>
        <v>234.0625</v>
      </c>
      <c r="K7" s="14">
        <f>Table1342[[#This Row],[QTY]]*Table1342[[#This Row],[Ink head cost]]</f>
        <v>37.5</v>
      </c>
      <c r="L7" s="14">
        <f>Table1342[[#This Row],[Run Cost  NO Inkjet]]+Table1342[[#This Row],[Tab Cost]]</f>
        <v>264.0625</v>
      </c>
      <c r="M7" s="14">
        <f>Table1342[[#This Row],[Inkjet Cost]]+Table1342[[#This Row],[Run Cost  NO Inkjet]]</f>
        <v>271.5625</v>
      </c>
      <c r="N7" s="22">
        <f>Table1342[[#This Row],[Inkjet Cost]]+Table1342[[#This Row],[Tab Cost]]+Table1342[[#This Row],[Run Cost  NO Inkjet]]</f>
        <v>301.5625</v>
      </c>
      <c r="O7" s="18" t="s">
        <v>16</v>
      </c>
    </row>
    <row r="8" spans="1:15" ht="20.100000000000001" customHeight="1" x14ac:dyDescent="0.25">
      <c r="A8" s="11" t="s">
        <v>15</v>
      </c>
      <c r="B8" s="19">
        <v>5000</v>
      </c>
      <c r="C8" s="13">
        <v>2</v>
      </c>
      <c r="D8" s="14">
        <v>70</v>
      </c>
      <c r="E8" s="15">
        <v>2E-3</v>
      </c>
      <c r="F8" s="14">
        <v>35</v>
      </c>
      <c r="G8" s="16">
        <v>5.0000000000000001E-3</v>
      </c>
      <c r="H8" s="17">
        <v>1600</v>
      </c>
      <c r="I8" s="14">
        <f>Table1342[[#This Row],[QTY]]*Table1342[[#This Row],[No. Tabs]]*Table1342[[#This Row],[Per Tab $]]</f>
        <v>20</v>
      </c>
      <c r="J8" s="14">
        <f>Table1342[[#This Row],[QTY]]/Table1342[[#This Row],[Run Speed]]*Table1342[[#This Row],[Per hour Rate]]+Table1342[[#This Row],[Set-up $]]</f>
        <v>179.375</v>
      </c>
      <c r="K8" s="14">
        <f>Table1342[[#This Row],[QTY]]*Table1342[[#This Row],[Ink head cost]]</f>
        <v>25</v>
      </c>
      <c r="L8" s="14">
        <f>Table1342[[#This Row],[Run Cost  NO Inkjet]]+Table1342[[#This Row],[Tab Cost]]</f>
        <v>199.375</v>
      </c>
      <c r="M8" s="14">
        <f>Table1342[[#This Row],[Inkjet Cost]]+Table1342[[#This Row],[Run Cost  NO Inkjet]]</f>
        <v>204.375</v>
      </c>
      <c r="N8" s="14">
        <f>Table1342[[#This Row],[Inkjet Cost]]+Table1342[[#This Row],[Tab Cost]]+Table1342[[#This Row],[Run Cost  NO Inkjet]]</f>
        <v>224.375</v>
      </c>
      <c r="O8" s="18" t="s">
        <v>16</v>
      </c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Wafer seal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Darrin Blackburn</dc:creator>
  <cp:lastModifiedBy>Darrin Blackburn</cp:lastModifiedBy>
  <dcterms:created xsi:type="dcterms:W3CDTF">2024-06-20T14:21:41Z</dcterms:created>
  <dcterms:modified xsi:type="dcterms:W3CDTF">2024-06-20T14:24:48Z</dcterms:modified>
</cp:coreProperties>
</file>