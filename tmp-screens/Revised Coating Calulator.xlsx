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DMGR\Desktop\"/>
    </mc:Choice>
  </mc:AlternateContent>
  <xr:revisionPtr revIDLastSave="0" documentId="8_{7980F833-A271-4167-8298-64DA341F09F2}" xr6:coauthVersionLast="47" xr6:coauthVersionMax="47" xr10:uidLastSave="{00000000-0000-0000-0000-000000000000}"/>
  <bookViews>
    <workbookView xWindow="-120" yWindow="-120" windowWidth="29040" windowHeight="15840" xr2:uid="{9B379DBC-7DBC-4976-884F-9BE4F3FF6662}"/>
  </bookViews>
  <sheets>
    <sheet name="NEW AQ Calculator" sheetId="1" r:id="rId1"/>
  </sheets>
  <externalReferences>
    <externalReference r:id="rId2"/>
  </externalReferences>
  <definedNames>
    <definedName name="PaperOUT">'[1]INV Paper IN_OUT FORM'!$H$3:$H$5434</definedName>
    <definedName name="_xlnm.Print_Area" localSheetId="0">'NEW AQ Calculator'!$B$1:$T$1</definedName>
    <definedName name="TYPECode">'[1]INV Paper IN_OUT FORM'!$A$3:$A$5916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H8" i="1" s="1"/>
  <c r="K7" i="1" s="1"/>
  <c r="E7" i="1"/>
  <c r="H7" i="1" s="1"/>
  <c r="K10" i="1" s="1"/>
  <c r="H6" i="1"/>
  <c r="K8" i="1" s="1"/>
  <c r="E6" i="1"/>
  <c r="K5" i="1"/>
  <c r="S5" i="1" s="1"/>
  <c r="S8" i="1" l="1"/>
  <c r="R8" i="1"/>
  <c r="S10" i="1"/>
  <c r="R10" i="1"/>
  <c r="R7" i="1"/>
  <c r="S7" i="1"/>
  <c r="K4" i="1"/>
  <c r="R5" i="1"/>
  <c r="K6" i="1"/>
  <c r="K9" i="1"/>
  <c r="S4" i="1" l="1"/>
  <c r="R4" i="1"/>
  <c r="R9" i="1"/>
  <c r="S9" i="1"/>
  <c r="S6" i="1"/>
  <c r="R6" i="1"/>
</calcChain>
</file>

<file path=xl/sharedStrings.xml><?xml version="1.0" encoding="utf-8"?>
<sst xmlns="http://schemas.openxmlformats.org/spreadsheetml/2006/main" count="30" uniqueCount="27">
  <si>
    <t>Aqueous Coating &amp; Reticulation Usage</t>
  </si>
  <si>
    <t>TYPE of Coating</t>
  </si>
  <si>
    <t>Coating Cost</t>
  </si>
  <si>
    <t>Price/lb.</t>
  </si>
  <si>
    <t>No. of SPOT        Coating Blankets</t>
  </si>
  <si>
    <t>Coater Blanket Cost</t>
  </si>
  <si>
    <t>No. of              Cyrel Plates</t>
  </si>
  <si>
    <t>Cyrel Plate Cost</t>
  </si>
  <si>
    <t>Cyrel Plate Shipping</t>
  </si>
  <si>
    <t>COATING Total PRICE</t>
  </si>
  <si>
    <t>CYREL     Total PRICE</t>
  </si>
  <si>
    <t>Gloss Aq</t>
  </si>
  <si>
    <t>TYPE</t>
  </si>
  <si>
    <t>Size</t>
  </si>
  <si>
    <t>Sq in</t>
  </si>
  <si>
    <t>Imp</t>
  </si>
  <si>
    <t>Per sq Inch</t>
  </si>
  <si>
    <t>LBS</t>
  </si>
  <si>
    <t>Satin Aq</t>
  </si>
  <si>
    <t>Coating</t>
  </si>
  <si>
    <t>X</t>
  </si>
  <si>
    <t>Matte Aq</t>
  </si>
  <si>
    <t>Retic Varn</t>
  </si>
  <si>
    <t>Soft Touch Aq</t>
  </si>
  <si>
    <t>Soft Touch</t>
  </si>
  <si>
    <t>Gloss LED</t>
  </si>
  <si>
    <t>Retic Coating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</si>
</sst>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24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D2F9FE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vertical="center"/>
    </xf>
    <xf numFmtId="0" fontId="1" fillId="0" borderId="0" xfId="1" applyAlignment="1">
      <alignment vertical="center"/>
    </xf>
    <xf numFmtId="0" fontId="2" fillId="0" borderId="0" xfId="1" applyFont="1" applyAlignment="1">
      <alignment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left" vertical="center"/>
    </xf>
    <xf numFmtId="164" fontId="5" fillId="0" borderId="1" xfId="1" applyNumberFormat="1" applyFont="1" applyBorder="1" applyAlignment="1">
      <alignment horizontal="left" vertical="center" indent="1"/>
    </xf>
    <xf numFmtId="3" fontId="5" fillId="0" borderId="1" xfId="1" applyNumberFormat="1" applyFont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1" xfId="1" applyFont="1" applyBorder="1" applyAlignment="1">
      <alignment vertical="center"/>
    </xf>
    <xf numFmtId="0" fontId="5" fillId="4" borderId="1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1" fillId="0" borderId="0" xfId="1" applyAlignment="1">
      <alignment horizontal="center" vertical="center"/>
    </xf>
    <xf numFmtId="164" fontId="1" fillId="0" borderId="0" xfId="1" applyNumberFormat="1" applyAlignment="1">
      <alignment vertical="center"/>
    </xf>
    <xf numFmtId="0" fontId="1" fillId="0" borderId="0" xfId="1" applyAlignment="1">
      <alignment horizontal="left" vertical="center" indent="1"/>
    </xf>
    <xf numFmtId="0" fontId="1" fillId="0" borderId="0" xfId="1" applyAlignment="1">
      <alignment horizontal="right"/>
    </xf>
    <xf numFmtId="0" fontId="1" fillId="0" borderId="0" xfId="1"/>
    <xf numFmtId="0" fontId="6" fillId="5" borderId="1" xfId="1" applyFont="1" applyFill="1" applyBorder="1" applyAlignment="1">
      <alignment horizontal="center" vertical="center" wrapText="1"/>
    </xf>
    <xf numFmtId="164" fontId="5" fillId="6" borderId="1" xfId="1" applyNumberFormat="1" applyFont="1" applyFill="1" applyBorder="1" applyAlignment="1">
      <alignment horizontal="left" vertical="center" indent="1"/>
    </xf>
    <xf numFmtId="164" fontId="5" fillId="4" borderId="1" xfId="1" applyNumberFormat="1" applyFont="1" applyFill="1" applyBorder="1" applyAlignment="1">
      <alignment horizontal="left" vertical="center" indent="1"/>
    </xf>
  </cellXfs>
  <cellStyles count="2">
    <cellStyle name="Normal" xfId="0" builtinId="0"/>
    <cellStyle name="Normal 2" xfId="1" xr:uid="{7E382CE6-3883-4329-821D-01EFEB50B66F}"/>
  </cellStyles>
  <dxfs count="0"/>
  <tableStyles count="0" defaultTableStyle="TableStyleMedium2" defaultPivotStyle="PivotStyleLight16"/>
  <colors>
    <mruColors>
      <color rgb="FFD2F9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RODMGR\Desktop\Paper%20Calipers.xlsx" TargetMode="External"/><Relationship Id="rId1" Type="http://schemas.openxmlformats.org/officeDocument/2006/relationships/externalLinkPath" Target="Paper%20Calip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V Paper IN_OUT FORM"/>
      <sheetName val="Vendor Purchases"/>
      <sheetName val="INVENTORY_DO NOT ALTER"/>
      <sheetName val="MY LISTS"/>
    </sheetNames>
    <sheetDataSet>
      <sheetData sheetId="0">
        <row r="3">
          <cell r="A3">
            <v>716</v>
          </cell>
          <cell r="H3">
            <v>13625</v>
          </cell>
        </row>
        <row r="4">
          <cell r="A4">
            <v>702</v>
          </cell>
          <cell r="H4">
            <v>450</v>
          </cell>
        </row>
        <row r="5">
          <cell r="A5">
            <v>85</v>
          </cell>
          <cell r="H5">
            <v>3625</v>
          </cell>
        </row>
        <row r="6">
          <cell r="A6">
            <v>116</v>
          </cell>
          <cell r="H6">
            <v>450</v>
          </cell>
        </row>
        <row r="7">
          <cell r="A7">
            <v>46</v>
          </cell>
          <cell r="H7">
            <v>3350</v>
          </cell>
        </row>
        <row r="8">
          <cell r="A8">
            <v>663</v>
          </cell>
          <cell r="H8">
            <v>5400</v>
          </cell>
        </row>
        <row r="9">
          <cell r="A9">
            <v>218</v>
          </cell>
          <cell r="H9">
            <v>20500</v>
          </cell>
        </row>
        <row r="10">
          <cell r="A10">
            <v>126</v>
          </cell>
          <cell r="H10">
            <v>1000</v>
          </cell>
        </row>
        <row r="11">
          <cell r="A11">
            <v>715</v>
          </cell>
          <cell r="H11">
            <v>2525</v>
          </cell>
        </row>
        <row r="12">
          <cell r="A12">
            <v>657</v>
          </cell>
          <cell r="H12">
            <v>1150</v>
          </cell>
        </row>
        <row r="13">
          <cell r="A13">
            <v>47</v>
          </cell>
          <cell r="H13">
            <v>25</v>
          </cell>
        </row>
        <row r="14">
          <cell r="A14">
            <v>9</v>
          </cell>
          <cell r="H14">
            <v>150</v>
          </cell>
        </row>
        <row r="15">
          <cell r="A15">
            <v>19</v>
          </cell>
          <cell r="H15">
            <v>720</v>
          </cell>
        </row>
        <row r="16">
          <cell r="A16">
            <v>117</v>
          </cell>
          <cell r="H16">
            <v>1760</v>
          </cell>
        </row>
        <row r="17">
          <cell r="A17">
            <v>131</v>
          </cell>
          <cell r="H17">
            <v>15444</v>
          </cell>
        </row>
        <row r="18">
          <cell r="A18">
            <v>133</v>
          </cell>
          <cell r="H18">
            <v>2150</v>
          </cell>
        </row>
        <row r="19">
          <cell r="A19">
            <v>663</v>
          </cell>
          <cell r="H19">
            <v>22000</v>
          </cell>
        </row>
        <row r="20">
          <cell r="A20">
            <v>664</v>
          </cell>
          <cell r="H20">
            <v>1200</v>
          </cell>
        </row>
        <row r="21">
          <cell r="A21">
            <v>180</v>
          </cell>
          <cell r="H21">
            <v>500</v>
          </cell>
        </row>
        <row r="22">
          <cell r="A22">
            <v>218</v>
          </cell>
          <cell r="H22">
            <v>2120</v>
          </cell>
        </row>
        <row r="23">
          <cell r="A23">
            <v>102</v>
          </cell>
          <cell r="H23">
            <v>2225</v>
          </cell>
        </row>
        <row r="24">
          <cell r="A24">
            <v>676</v>
          </cell>
          <cell r="H24">
            <v>3500</v>
          </cell>
        </row>
        <row r="25">
          <cell r="A25">
            <v>95</v>
          </cell>
          <cell r="H25">
            <v>40820</v>
          </cell>
        </row>
        <row r="26">
          <cell r="A26">
            <v>218</v>
          </cell>
          <cell r="H26">
            <v>17180</v>
          </cell>
        </row>
        <row r="27">
          <cell r="A27">
            <v>61</v>
          </cell>
          <cell r="H27">
            <v>5</v>
          </cell>
        </row>
        <row r="28">
          <cell r="A28">
            <v>159</v>
          </cell>
          <cell r="H28">
            <v>460</v>
          </cell>
        </row>
        <row r="29">
          <cell r="A29">
            <v>109</v>
          </cell>
          <cell r="H29">
            <v>1825</v>
          </cell>
        </row>
        <row r="30">
          <cell r="A30">
            <v>658</v>
          </cell>
          <cell r="H30">
            <v>44000</v>
          </cell>
        </row>
        <row r="31">
          <cell r="A31">
            <v>1</v>
          </cell>
          <cell r="H31">
            <v>123</v>
          </cell>
        </row>
        <row r="32">
          <cell r="A32">
            <v>660</v>
          </cell>
          <cell r="H32">
            <v>5800</v>
          </cell>
        </row>
        <row r="33">
          <cell r="A33">
            <v>667</v>
          </cell>
          <cell r="H33">
            <v>1000</v>
          </cell>
        </row>
        <row r="34">
          <cell r="A34">
            <v>683</v>
          </cell>
          <cell r="H34">
            <v>1500</v>
          </cell>
        </row>
        <row r="35">
          <cell r="A35">
            <v>202</v>
          </cell>
          <cell r="H35">
            <v>220</v>
          </cell>
        </row>
        <row r="36">
          <cell r="A36">
            <v>683</v>
          </cell>
          <cell r="H36">
            <v>800</v>
          </cell>
        </row>
        <row r="37">
          <cell r="A37">
            <v>138</v>
          </cell>
          <cell r="H37">
            <v>200</v>
          </cell>
        </row>
        <row r="38">
          <cell r="A38">
            <v>42</v>
          </cell>
          <cell r="H38">
            <v>810</v>
          </cell>
        </row>
        <row r="39">
          <cell r="A39">
            <v>661</v>
          </cell>
          <cell r="H39">
            <v>1750</v>
          </cell>
        </row>
        <row r="40">
          <cell r="A40">
            <v>228</v>
          </cell>
          <cell r="H40">
            <v>163</v>
          </cell>
        </row>
        <row r="41">
          <cell r="A41">
            <v>663</v>
          </cell>
          <cell r="H41">
            <v>4400</v>
          </cell>
        </row>
        <row r="42">
          <cell r="A42">
            <v>662</v>
          </cell>
          <cell r="H42">
            <v>1900</v>
          </cell>
        </row>
        <row r="43">
          <cell r="A43">
            <v>662</v>
          </cell>
          <cell r="H43">
            <v>1900</v>
          </cell>
        </row>
        <row r="44">
          <cell r="A44">
            <v>453</v>
          </cell>
          <cell r="H44">
            <v>300</v>
          </cell>
        </row>
        <row r="45">
          <cell r="A45">
            <v>662</v>
          </cell>
          <cell r="H45">
            <v>2200</v>
          </cell>
        </row>
        <row r="46">
          <cell r="A46">
            <v>553</v>
          </cell>
          <cell r="H46">
            <v>1050</v>
          </cell>
        </row>
        <row r="47">
          <cell r="A47">
            <v>102</v>
          </cell>
          <cell r="H47">
            <v>4900</v>
          </cell>
        </row>
        <row r="48">
          <cell r="A48">
            <v>665</v>
          </cell>
          <cell r="H48">
            <v>550</v>
          </cell>
        </row>
        <row r="49">
          <cell r="A49">
            <v>114</v>
          </cell>
          <cell r="H49">
            <v>3750</v>
          </cell>
        </row>
        <row r="50">
          <cell r="A50">
            <v>133</v>
          </cell>
          <cell r="H50">
            <v>525</v>
          </cell>
        </row>
        <row r="51">
          <cell r="A51">
            <v>551</v>
          </cell>
          <cell r="H51">
            <v>1250</v>
          </cell>
        </row>
        <row r="52">
          <cell r="A52">
            <v>561</v>
          </cell>
          <cell r="H52">
            <v>75</v>
          </cell>
        </row>
        <row r="53">
          <cell r="A53">
            <v>196</v>
          </cell>
          <cell r="H53">
            <v>3250</v>
          </cell>
        </row>
        <row r="54">
          <cell r="A54">
            <v>47</v>
          </cell>
          <cell r="H54">
            <v>18</v>
          </cell>
        </row>
        <row r="55">
          <cell r="A55">
            <v>18</v>
          </cell>
          <cell r="H55">
            <v>11000</v>
          </cell>
        </row>
        <row r="56">
          <cell r="A56">
            <v>3</v>
          </cell>
          <cell r="H56">
            <v>11000</v>
          </cell>
        </row>
        <row r="57">
          <cell r="A57">
            <v>66</v>
          </cell>
          <cell r="H57">
            <v>15</v>
          </cell>
        </row>
        <row r="58">
          <cell r="A58">
            <v>178</v>
          </cell>
          <cell r="H58">
            <v>165</v>
          </cell>
        </row>
        <row r="59">
          <cell r="A59">
            <v>44</v>
          </cell>
          <cell r="H59">
            <v>75</v>
          </cell>
        </row>
        <row r="60">
          <cell r="A60">
            <v>57</v>
          </cell>
          <cell r="H60">
            <v>88</v>
          </cell>
        </row>
        <row r="61">
          <cell r="A61">
            <v>550</v>
          </cell>
          <cell r="H61">
            <v>1100</v>
          </cell>
        </row>
        <row r="62">
          <cell r="A62">
            <v>3</v>
          </cell>
          <cell r="H62">
            <v>3250</v>
          </cell>
        </row>
        <row r="63">
          <cell r="A63">
            <v>109</v>
          </cell>
          <cell r="H63">
            <v>1000</v>
          </cell>
        </row>
        <row r="64">
          <cell r="A64">
            <v>63</v>
          </cell>
          <cell r="H64">
            <v>56</v>
          </cell>
        </row>
        <row r="65">
          <cell r="A65">
            <v>9</v>
          </cell>
          <cell r="H65">
            <v>109</v>
          </cell>
        </row>
        <row r="66">
          <cell r="A66">
            <v>560</v>
          </cell>
          <cell r="H66">
            <v>1790</v>
          </cell>
        </row>
        <row r="67">
          <cell r="A67">
            <v>186</v>
          </cell>
          <cell r="H67">
            <v>4500</v>
          </cell>
        </row>
        <row r="68">
          <cell r="A68">
            <v>187</v>
          </cell>
          <cell r="H68">
            <v>2500</v>
          </cell>
        </row>
        <row r="69">
          <cell r="A69">
            <v>57</v>
          </cell>
          <cell r="H69">
            <v>100</v>
          </cell>
        </row>
        <row r="70">
          <cell r="A70">
            <v>196</v>
          </cell>
          <cell r="H70">
            <v>150</v>
          </cell>
        </row>
        <row r="71">
          <cell r="A71">
            <v>557</v>
          </cell>
          <cell r="H71">
            <v>900</v>
          </cell>
        </row>
        <row r="72">
          <cell r="A72">
            <v>660</v>
          </cell>
          <cell r="H72">
            <v>4000</v>
          </cell>
        </row>
        <row r="73">
          <cell r="A73">
            <v>196</v>
          </cell>
          <cell r="H73">
            <v>250</v>
          </cell>
        </row>
        <row r="74">
          <cell r="A74">
            <v>176</v>
          </cell>
          <cell r="H74">
            <v>650</v>
          </cell>
        </row>
        <row r="75">
          <cell r="A75">
            <v>658</v>
          </cell>
          <cell r="H75">
            <v>11000</v>
          </cell>
        </row>
        <row r="76">
          <cell r="A76">
            <v>182</v>
          </cell>
          <cell r="H76">
            <v>840</v>
          </cell>
        </row>
        <row r="77">
          <cell r="A77">
            <v>669</v>
          </cell>
          <cell r="H77">
            <v>3500</v>
          </cell>
        </row>
        <row r="78">
          <cell r="A78">
            <v>670</v>
          </cell>
          <cell r="H78">
            <v>12000</v>
          </cell>
        </row>
        <row r="79">
          <cell r="A79">
            <v>670</v>
          </cell>
          <cell r="H79">
            <v>10000</v>
          </cell>
        </row>
        <row r="80">
          <cell r="A80">
            <v>668</v>
          </cell>
          <cell r="H80">
            <v>26</v>
          </cell>
        </row>
        <row r="81">
          <cell r="A81">
            <v>109</v>
          </cell>
          <cell r="H81">
            <v>600</v>
          </cell>
        </row>
        <row r="82">
          <cell r="A82">
            <v>6</v>
          </cell>
          <cell r="H82">
            <v>2500</v>
          </cell>
        </row>
        <row r="83">
          <cell r="A83">
            <v>196</v>
          </cell>
          <cell r="H83">
            <v>2000</v>
          </cell>
        </row>
        <row r="84">
          <cell r="A84">
            <v>66</v>
          </cell>
          <cell r="H84">
            <v>35</v>
          </cell>
        </row>
        <row r="85">
          <cell r="A85">
            <v>126</v>
          </cell>
          <cell r="H85">
            <v>350</v>
          </cell>
        </row>
        <row r="86">
          <cell r="A86">
            <v>44</v>
          </cell>
          <cell r="H86">
            <v>20</v>
          </cell>
        </row>
        <row r="87">
          <cell r="A87">
            <v>88</v>
          </cell>
          <cell r="H87">
            <v>740</v>
          </cell>
        </row>
        <row r="88">
          <cell r="A88">
            <v>77</v>
          </cell>
          <cell r="H88">
            <v>45</v>
          </cell>
        </row>
        <row r="89">
          <cell r="A89">
            <v>559</v>
          </cell>
          <cell r="H89">
            <v>70</v>
          </cell>
        </row>
        <row r="90">
          <cell r="A90">
            <v>668</v>
          </cell>
          <cell r="H90">
            <v>20</v>
          </cell>
        </row>
        <row r="91">
          <cell r="A91">
            <v>668</v>
          </cell>
          <cell r="H91">
            <v>130</v>
          </cell>
        </row>
        <row r="92">
          <cell r="A92">
            <v>668</v>
          </cell>
          <cell r="H92">
            <v>16</v>
          </cell>
        </row>
        <row r="93">
          <cell r="A93">
            <v>188</v>
          </cell>
          <cell r="H93">
            <v>11</v>
          </cell>
        </row>
        <row r="94">
          <cell r="A94">
            <v>668</v>
          </cell>
          <cell r="H94">
            <v>26</v>
          </cell>
        </row>
        <row r="95">
          <cell r="A95">
            <v>102</v>
          </cell>
          <cell r="H95">
            <v>400</v>
          </cell>
        </row>
        <row r="96">
          <cell r="A96">
            <v>176</v>
          </cell>
          <cell r="H96">
            <v>300</v>
          </cell>
        </row>
        <row r="97">
          <cell r="A97">
            <v>126</v>
          </cell>
          <cell r="H97">
            <v>120</v>
          </cell>
        </row>
        <row r="98">
          <cell r="A98">
            <v>203</v>
          </cell>
          <cell r="H98">
            <v>1600</v>
          </cell>
        </row>
        <row r="99">
          <cell r="A99">
            <v>176</v>
          </cell>
          <cell r="H99">
            <v>215</v>
          </cell>
        </row>
        <row r="100">
          <cell r="A100">
            <v>176</v>
          </cell>
          <cell r="H100">
            <v>300</v>
          </cell>
        </row>
        <row r="101">
          <cell r="A101">
            <v>181</v>
          </cell>
          <cell r="H101">
            <v>150</v>
          </cell>
        </row>
        <row r="102">
          <cell r="A102">
            <v>139</v>
          </cell>
          <cell r="H102">
            <v>860</v>
          </cell>
        </row>
        <row r="103">
          <cell r="A103">
            <v>133</v>
          </cell>
          <cell r="H103">
            <v>375</v>
          </cell>
        </row>
        <row r="104">
          <cell r="A104">
            <v>677</v>
          </cell>
          <cell r="H104">
            <v>2900</v>
          </cell>
        </row>
        <row r="105">
          <cell r="A105">
            <v>488</v>
          </cell>
          <cell r="H105">
            <v>15</v>
          </cell>
        </row>
        <row r="106">
          <cell r="A106">
            <v>180</v>
          </cell>
          <cell r="H106">
            <v>5000</v>
          </cell>
        </row>
        <row r="107">
          <cell r="A107">
            <v>210</v>
          </cell>
          <cell r="H107">
            <v>3750</v>
          </cell>
        </row>
        <row r="108">
          <cell r="A108">
            <v>204</v>
          </cell>
          <cell r="H108">
            <v>2780</v>
          </cell>
        </row>
        <row r="109">
          <cell r="A109">
            <v>77</v>
          </cell>
          <cell r="H109">
            <v>15</v>
          </cell>
        </row>
        <row r="110">
          <cell r="A110">
            <v>136</v>
          </cell>
          <cell r="H110">
            <v>6350</v>
          </cell>
        </row>
        <row r="111">
          <cell r="A111">
            <v>210</v>
          </cell>
          <cell r="H111">
            <v>2100</v>
          </cell>
        </row>
        <row r="112">
          <cell r="A112">
            <v>44</v>
          </cell>
          <cell r="H112">
            <v>105</v>
          </cell>
        </row>
        <row r="113">
          <cell r="A113">
            <v>34</v>
          </cell>
          <cell r="H113">
            <v>19</v>
          </cell>
        </row>
        <row r="114">
          <cell r="A114">
            <v>558</v>
          </cell>
          <cell r="H114">
            <v>138</v>
          </cell>
        </row>
        <row r="115">
          <cell r="A115">
            <v>668</v>
          </cell>
          <cell r="H115">
            <v>300</v>
          </cell>
        </row>
        <row r="116">
          <cell r="A116">
            <v>488</v>
          </cell>
          <cell r="H116">
            <v>25</v>
          </cell>
        </row>
        <row r="117">
          <cell r="A117">
            <v>682</v>
          </cell>
          <cell r="H117">
            <v>3000</v>
          </cell>
        </row>
        <row r="118">
          <cell r="A118">
            <v>78</v>
          </cell>
          <cell r="H118">
            <v>2650</v>
          </cell>
        </row>
        <row r="119">
          <cell r="A119">
            <v>678</v>
          </cell>
          <cell r="H119">
            <v>5500</v>
          </cell>
        </row>
        <row r="120">
          <cell r="A120">
            <v>677</v>
          </cell>
          <cell r="H120">
            <v>171</v>
          </cell>
        </row>
        <row r="121">
          <cell r="A121">
            <v>356</v>
          </cell>
          <cell r="H121">
            <v>425</v>
          </cell>
        </row>
        <row r="122">
          <cell r="A122">
            <v>488</v>
          </cell>
          <cell r="H122">
            <v>90</v>
          </cell>
        </row>
        <row r="123">
          <cell r="A123">
            <v>17</v>
          </cell>
          <cell r="H123">
            <v>12</v>
          </cell>
        </row>
        <row r="124">
          <cell r="A124">
            <v>47</v>
          </cell>
          <cell r="H124">
            <v>7</v>
          </cell>
        </row>
        <row r="125">
          <cell r="A125">
            <v>70</v>
          </cell>
          <cell r="H125">
            <v>750</v>
          </cell>
        </row>
        <row r="126">
          <cell r="A126">
            <v>685</v>
          </cell>
          <cell r="H126">
            <v>1000</v>
          </cell>
        </row>
        <row r="127">
          <cell r="A127">
            <v>702</v>
          </cell>
          <cell r="H127">
            <v>1500</v>
          </cell>
        </row>
        <row r="128">
          <cell r="A128">
            <v>684</v>
          </cell>
          <cell r="H128">
            <v>1330</v>
          </cell>
        </row>
        <row r="129">
          <cell r="A129">
            <v>354</v>
          </cell>
          <cell r="H129">
            <v>20</v>
          </cell>
        </row>
        <row r="130">
          <cell r="A130">
            <v>176</v>
          </cell>
          <cell r="H130">
            <v>900</v>
          </cell>
        </row>
        <row r="131">
          <cell r="A131">
            <v>17</v>
          </cell>
          <cell r="H131">
            <v>7</v>
          </cell>
        </row>
        <row r="132">
          <cell r="A132">
            <v>188</v>
          </cell>
          <cell r="H132">
            <v>6</v>
          </cell>
        </row>
        <row r="133">
          <cell r="A133">
            <v>188</v>
          </cell>
          <cell r="H133">
            <v>6</v>
          </cell>
        </row>
        <row r="134">
          <cell r="A134">
            <v>155</v>
          </cell>
          <cell r="H134">
            <v>150</v>
          </cell>
        </row>
        <row r="135">
          <cell r="A135">
            <v>450</v>
          </cell>
          <cell r="H135">
            <v>3380</v>
          </cell>
        </row>
        <row r="136">
          <cell r="A136">
            <v>361</v>
          </cell>
          <cell r="H136">
            <v>1500</v>
          </cell>
        </row>
        <row r="137">
          <cell r="A137">
            <v>664</v>
          </cell>
          <cell r="H137">
            <v>338</v>
          </cell>
        </row>
        <row r="138">
          <cell r="A138">
            <v>147</v>
          </cell>
          <cell r="H138">
            <v>30738</v>
          </cell>
        </row>
        <row r="139">
          <cell r="A139">
            <v>66</v>
          </cell>
          <cell r="H139">
            <v>17</v>
          </cell>
        </row>
        <row r="140">
          <cell r="A140">
            <v>85</v>
          </cell>
          <cell r="H140">
            <v>2375</v>
          </cell>
        </row>
        <row r="141">
          <cell r="A141">
            <v>57</v>
          </cell>
          <cell r="H141">
            <v>100</v>
          </cell>
        </row>
        <row r="142">
          <cell r="A142">
            <v>9</v>
          </cell>
          <cell r="H142">
            <v>3500</v>
          </cell>
        </row>
        <row r="143">
          <cell r="A143">
            <v>54</v>
          </cell>
          <cell r="H143">
            <v>60</v>
          </cell>
        </row>
        <row r="144">
          <cell r="A144">
            <v>677</v>
          </cell>
          <cell r="H144">
            <v>2250</v>
          </cell>
        </row>
        <row r="145">
          <cell r="A145">
            <v>10</v>
          </cell>
          <cell r="H145">
            <v>1600</v>
          </cell>
        </row>
        <row r="146">
          <cell r="A146">
            <v>692</v>
          </cell>
          <cell r="H146">
            <v>5200</v>
          </cell>
        </row>
        <row r="147">
          <cell r="A147">
            <v>182</v>
          </cell>
          <cell r="H147">
            <v>200</v>
          </cell>
        </row>
        <row r="148">
          <cell r="A148">
            <v>669</v>
          </cell>
          <cell r="H148">
            <v>1500</v>
          </cell>
        </row>
        <row r="149">
          <cell r="A149">
            <v>679</v>
          </cell>
          <cell r="H149">
            <v>1500</v>
          </cell>
        </row>
        <row r="150">
          <cell r="A150">
            <v>61</v>
          </cell>
          <cell r="H150">
            <v>1500</v>
          </cell>
        </row>
        <row r="151">
          <cell r="A151">
            <v>159</v>
          </cell>
          <cell r="H151">
            <v>460</v>
          </cell>
        </row>
        <row r="152">
          <cell r="A152">
            <v>681</v>
          </cell>
          <cell r="H152">
            <v>1825</v>
          </cell>
        </row>
        <row r="153">
          <cell r="A153">
            <v>189</v>
          </cell>
          <cell r="H153">
            <v>13</v>
          </cell>
        </row>
        <row r="154">
          <cell r="A154">
            <v>214</v>
          </cell>
          <cell r="H154">
            <v>5</v>
          </cell>
        </row>
        <row r="155">
          <cell r="A155">
            <v>193</v>
          </cell>
          <cell r="H155">
            <v>1000</v>
          </cell>
        </row>
        <row r="156">
          <cell r="A156">
            <v>190</v>
          </cell>
          <cell r="H156">
            <v>25</v>
          </cell>
        </row>
        <row r="157">
          <cell r="A157">
            <v>47</v>
          </cell>
          <cell r="H157">
            <v>7</v>
          </cell>
        </row>
        <row r="158">
          <cell r="A158">
            <v>680</v>
          </cell>
          <cell r="H158">
            <v>250</v>
          </cell>
        </row>
        <row r="159">
          <cell r="A159">
            <v>680</v>
          </cell>
          <cell r="H159">
            <v>250</v>
          </cell>
        </row>
        <row r="160">
          <cell r="A160">
            <v>47</v>
          </cell>
          <cell r="H160">
            <v>15</v>
          </cell>
        </row>
        <row r="161">
          <cell r="A161">
            <v>477</v>
          </cell>
          <cell r="H161">
            <v>400</v>
          </cell>
        </row>
        <row r="162">
          <cell r="A162">
            <v>49</v>
          </cell>
          <cell r="H162">
            <v>140</v>
          </cell>
        </row>
        <row r="163">
          <cell r="A163">
            <v>489</v>
          </cell>
          <cell r="H163">
            <v>250</v>
          </cell>
        </row>
        <row r="164">
          <cell r="A164">
            <v>678</v>
          </cell>
          <cell r="H164">
            <v>4500</v>
          </cell>
        </row>
        <row r="165">
          <cell r="A165">
            <v>124</v>
          </cell>
          <cell r="H165">
            <v>2300</v>
          </cell>
        </row>
        <row r="166">
          <cell r="A166">
            <v>364</v>
          </cell>
          <cell r="H166">
            <v>175</v>
          </cell>
        </row>
        <row r="167">
          <cell r="A167">
            <v>553</v>
          </cell>
          <cell r="H167">
            <v>240</v>
          </cell>
        </row>
        <row r="168">
          <cell r="A168">
            <v>188</v>
          </cell>
          <cell r="H168">
            <v>6</v>
          </cell>
        </row>
        <row r="169">
          <cell r="A169">
            <v>155</v>
          </cell>
          <cell r="H169">
            <v>143</v>
          </cell>
        </row>
        <row r="170">
          <cell r="A170">
            <v>94</v>
          </cell>
          <cell r="H170">
            <v>17</v>
          </cell>
        </row>
        <row r="171">
          <cell r="A171">
            <v>94</v>
          </cell>
          <cell r="H171">
            <v>10</v>
          </cell>
        </row>
        <row r="172">
          <cell r="A172">
            <v>158</v>
          </cell>
          <cell r="H172">
            <v>34400</v>
          </cell>
        </row>
        <row r="173">
          <cell r="A173">
            <v>155</v>
          </cell>
          <cell r="H173">
            <v>195</v>
          </cell>
        </row>
        <row r="174">
          <cell r="A174">
            <v>210</v>
          </cell>
          <cell r="H174">
            <v>55</v>
          </cell>
        </row>
        <row r="175">
          <cell r="A175">
            <v>68</v>
          </cell>
          <cell r="H175">
            <v>3000</v>
          </cell>
        </row>
        <row r="176">
          <cell r="A176">
            <v>17</v>
          </cell>
          <cell r="H176">
            <v>40</v>
          </cell>
        </row>
        <row r="177">
          <cell r="A177">
            <v>155</v>
          </cell>
          <cell r="H177">
            <v>200</v>
          </cell>
        </row>
        <row r="178">
          <cell r="A178">
            <v>349</v>
          </cell>
          <cell r="H178">
            <v>80</v>
          </cell>
        </row>
        <row r="179">
          <cell r="A179">
            <v>348</v>
          </cell>
          <cell r="H179">
            <v>1667</v>
          </cell>
        </row>
        <row r="180">
          <cell r="A180">
            <v>42</v>
          </cell>
          <cell r="H180">
            <v>50</v>
          </cell>
        </row>
        <row r="181">
          <cell r="A181">
            <v>686</v>
          </cell>
          <cell r="H181">
            <v>1350</v>
          </cell>
        </row>
        <row r="182">
          <cell r="A182">
            <v>210</v>
          </cell>
          <cell r="H182">
            <v>50</v>
          </cell>
        </row>
        <row r="183">
          <cell r="A183">
            <v>66</v>
          </cell>
          <cell r="H183">
            <v>50</v>
          </cell>
        </row>
        <row r="184">
          <cell r="A184">
            <v>668</v>
          </cell>
          <cell r="H184">
            <v>26</v>
          </cell>
        </row>
        <row r="185">
          <cell r="A185">
            <v>668</v>
          </cell>
          <cell r="H185">
            <v>90</v>
          </cell>
        </row>
        <row r="186">
          <cell r="A186">
            <v>668</v>
          </cell>
          <cell r="H186">
            <v>40</v>
          </cell>
        </row>
        <row r="187">
          <cell r="A187">
            <v>685</v>
          </cell>
          <cell r="H187">
            <v>500</v>
          </cell>
        </row>
        <row r="188">
          <cell r="A188">
            <v>102</v>
          </cell>
          <cell r="H188">
            <v>1167</v>
          </cell>
        </row>
        <row r="189">
          <cell r="A189">
            <v>61</v>
          </cell>
          <cell r="H189">
            <v>10</v>
          </cell>
        </row>
        <row r="190">
          <cell r="A190">
            <v>676</v>
          </cell>
          <cell r="H190">
            <v>250</v>
          </cell>
        </row>
        <row r="191">
          <cell r="A191">
            <v>94</v>
          </cell>
          <cell r="H191">
            <v>7</v>
          </cell>
        </row>
        <row r="192">
          <cell r="A192">
            <v>682</v>
          </cell>
          <cell r="H192">
            <v>1500</v>
          </cell>
        </row>
        <row r="193">
          <cell r="A193">
            <v>684</v>
          </cell>
          <cell r="H193">
            <v>1500</v>
          </cell>
        </row>
        <row r="194">
          <cell r="A194">
            <v>680</v>
          </cell>
          <cell r="H194">
            <v>150</v>
          </cell>
        </row>
        <row r="195">
          <cell r="A195">
            <v>349</v>
          </cell>
          <cell r="H195">
            <v>2</v>
          </cell>
        </row>
        <row r="196">
          <cell r="A196">
            <v>349</v>
          </cell>
          <cell r="H196">
            <v>5</v>
          </cell>
        </row>
        <row r="197">
          <cell r="A197">
            <v>349</v>
          </cell>
          <cell r="H197">
            <v>10</v>
          </cell>
        </row>
        <row r="198">
          <cell r="A198">
            <v>3</v>
          </cell>
          <cell r="H198">
            <v>2500</v>
          </cell>
        </row>
        <row r="199">
          <cell r="A199">
            <v>668</v>
          </cell>
          <cell r="H199">
            <v>26</v>
          </cell>
        </row>
        <row r="200">
          <cell r="A200">
            <v>690</v>
          </cell>
          <cell r="H200">
            <v>3600</v>
          </cell>
        </row>
        <row r="201">
          <cell r="A201">
            <v>688</v>
          </cell>
          <cell r="H201">
            <v>2000</v>
          </cell>
        </row>
        <row r="202">
          <cell r="A202">
            <v>692</v>
          </cell>
          <cell r="H202">
            <v>2000</v>
          </cell>
        </row>
        <row r="203">
          <cell r="A203">
            <v>85</v>
          </cell>
          <cell r="H203">
            <v>1010</v>
          </cell>
        </row>
        <row r="204">
          <cell r="A204">
            <v>9</v>
          </cell>
          <cell r="H204">
            <v>275</v>
          </cell>
        </row>
        <row r="205">
          <cell r="A205">
            <v>176</v>
          </cell>
          <cell r="H205">
            <v>400</v>
          </cell>
        </row>
        <row r="206">
          <cell r="A206">
            <v>9</v>
          </cell>
          <cell r="H206">
            <v>110</v>
          </cell>
        </row>
        <row r="207">
          <cell r="A207">
            <v>695</v>
          </cell>
          <cell r="H207">
            <v>5800</v>
          </cell>
        </row>
        <row r="208">
          <cell r="A208">
            <v>488</v>
          </cell>
          <cell r="H208">
            <v>30</v>
          </cell>
        </row>
        <row r="209">
          <cell r="A209">
            <v>665</v>
          </cell>
          <cell r="H209">
            <v>620</v>
          </cell>
        </row>
        <row r="210">
          <cell r="A210">
            <v>188</v>
          </cell>
          <cell r="H210">
            <v>12</v>
          </cell>
        </row>
        <row r="211">
          <cell r="A211">
            <v>19</v>
          </cell>
          <cell r="H211">
            <v>25</v>
          </cell>
        </row>
        <row r="212">
          <cell r="A212">
            <v>691</v>
          </cell>
          <cell r="H212">
            <v>1600</v>
          </cell>
        </row>
        <row r="213">
          <cell r="A213">
            <v>6</v>
          </cell>
          <cell r="H213">
            <v>2000</v>
          </cell>
        </row>
        <row r="214">
          <cell r="A214">
            <v>188</v>
          </cell>
          <cell r="H214">
            <v>6</v>
          </cell>
        </row>
        <row r="215">
          <cell r="A215">
            <v>54</v>
          </cell>
          <cell r="H215">
            <v>390</v>
          </cell>
        </row>
        <row r="216">
          <cell r="A216">
            <v>17</v>
          </cell>
          <cell r="H216">
            <v>35</v>
          </cell>
        </row>
        <row r="217">
          <cell r="A217">
            <v>349</v>
          </cell>
          <cell r="H217">
            <v>2</v>
          </cell>
        </row>
        <row r="218">
          <cell r="A218">
            <v>668</v>
          </cell>
          <cell r="H218">
            <v>16</v>
          </cell>
        </row>
        <row r="219">
          <cell r="A219">
            <v>668</v>
          </cell>
          <cell r="H219">
            <v>26</v>
          </cell>
        </row>
        <row r="220">
          <cell r="A220">
            <v>668</v>
          </cell>
          <cell r="H220">
            <v>26</v>
          </cell>
        </row>
        <row r="221">
          <cell r="A221">
            <v>47</v>
          </cell>
          <cell r="H221">
            <v>7</v>
          </cell>
        </row>
        <row r="222">
          <cell r="A222">
            <v>193</v>
          </cell>
          <cell r="H222">
            <v>1000</v>
          </cell>
        </row>
        <row r="223">
          <cell r="A223">
            <v>156</v>
          </cell>
          <cell r="H223">
            <v>393</v>
          </cell>
        </row>
        <row r="224">
          <cell r="A224">
            <v>693</v>
          </cell>
          <cell r="H224">
            <v>800</v>
          </cell>
        </row>
        <row r="225">
          <cell r="A225">
            <v>188</v>
          </cell>
          <cell r="H225">
            <v>13</v>
          </cell>
        </row>
        <row r="226">
          <cell r="A226">
            <v>17</v>
          </cell>
          <cell r="H226">
            <v>7</v>
          </cell>
        </row>
        <row r="227">
          <cell r="A227">
            <v>17</v>
          </cell>
          <cell r="H227">
            <v>4</v>
          </cell>
        </row>
        <row r="228">
          <cell r="A228">
            <v>692</v>
          </cell>
          <cell r="H228">
            <v>7700</v>
          </cell>
        </row>
        <row r="229">
          <cell r="A229">
            <v>26</v>
          </cell>
          <cell r="H229">
            <v>4000</v>
          </cell>
        </row>
        <row r="230">
          <cell r="A230">
            <v>124</v>
          </cell>
          <cell r="H230">
            <v>163</v>
          </cell>
        </row>
        <row r="231">
          <cell r="A231">
            <v>94</v>
          </cell>
          <cell r="H231">
            <v>10</v>
          </cell>
        </row>
        <row r="232">
          <cell r="A232">
            <v>190</v>
          </cell>
          <cell r="H232">
            <v>50</v>
          </cell>
        </row>
        <row r="233">
          <cell r="A233">
            <v>129</v>
          </cell>
          <cell r="H233">
            <v>500</v>
          </cell>
        </row>
        <row r="234">
          <cell r="A234">
            <v>130</v>
          </cell>
          <cell r="H234">
            <v>4000</v>
          </cell>
        </row>
        <row r="235">
          <cell r="A235">
            <v>156</v>
          </cell>
          <cell r="H235">
            <v>342</v>
          </cell>
        </row>
        <row r="236">
          <cell r="A236">
            <v>693</v>
          </cell>
          <cell r="H236">
            <v>1500</v>
          </cell>
        </row>
        <row r="237">
          <cell r="A237">
            <v>61</v>
          </cell>
          <cell r="H237">
            <v>5</v>
          </cell>
        </row>
        <row r="238">
          <cell r="A238">
            <v>181</v>
          </cell>
          <cell r="H238">
            <v>40</v>
          </cell>
        </row>
        <row r="239">
          <cell r="A239">
            <v>693</v>
          </cell>
          <cell r="H239">
            <v>200</v>
          </cell>
        </row>
        <row r="240">
          <cell r="A240">
            <v>486</v>
          </cell>
          <cell r="H240">
            <v>125</v>
          </cell>
        </row>
        <row r="241">
          <cell r="A241">
            <v>696</v>
          </cell>
          <cell r="H241">
            <v>960</v>
          </cell>
        </row>
        <row r="242">
          <cell r="A242">
            <v>180</v>
          </cell>
          <cell r="H242">
            <v>325</v>
          </cell>
        </row>
        <row r="243">
          <cell r="A243">
            <v>677</v>
          </cell>
          <cell r="H243">
            <v>105</v>
          </cell>
        </row>
        <row r="244">
          <cell r="A244">
            <v>193</v>
          </cell>
          <cell r="H244">
            <v>115</v>
          </cell>
        </row>
        <row r="245">
          <cell r="A245">
            <v>558</v>
          </cell>
          <cell r="H245">
            <v>325</v>
          </cell>
        </row>
        <row r="246">
          <cell r="A246">
            <v>1</v>
          </cell>
          <cell r="H246">
            <v>100</v>
          </cell>
        </row>
        <row r="247">
          <cell r="A247">
            <v>672</v>
          </cell>
          <cell r="H247">
            <v>50</v>
          </cell>
        </row>
        <row r="248">
          <cell r="A248">
            <v>61</v>
          </cell>
          <cell r="H248">
            <v>35</v>
          </cell>
        </row>
        <row r="249">
          <cell r="A249">
            <v>702</v>
          </cell>
          <cell r="H249">
            <v>3470</v>
          </cell>
        </row>
        <row r="250">
          <cell r="A250">
            <v>180</v>
          </cell>
          <cell r="H250">
            <v>100</v>
          </cell>
        </row>
        <row r="251">
          <cell r="A251">
            <v>33</v>
          </cell>
          <cell r="H251">
            <v>50</v>
          </cell>
        </row>
        <row r="252">
          <cell r="A252">
            <v>54</v>
          </cell>
          <cell r="H252">
            <v>60</v>
          </cell>
        </row>
        <row r="253">
          <cell r="A253">
            <v>6</v>
          </cell>
          <cell r="H253">
            <v>1850</v>
          </cell>
        </row>
        <row r="254">
          <cell r="A254">
            <v>180</v>
          </cell>
          <cell r="H254">
            <v>138</v>
          </cell>
        </row>
        <row r="255">
          <cell r="A255">
            <v>43</v>
          </cell>
          <cell r="H255">
            <v>90</v>
          </cell>
        </row>
        <row r="256">
          <cell r="A256">
            <v>196</v>
          </cell>
          <cell r="H256">
            <v>400</v>
          </cell>
        </row>
        <row r="257">
          <cell r="A257">
            <v>196</v>
          </cell>
          <cell r="H257">
            <v>570</v>
          </cell>
        </row>
        <row r="258">
          <cell r="A258">
            <v>147</v>
          </cell>
          <cell r="H258">
            <v>17800</v>
          </cell>
        </row>
        <row r="259">
          <cell r="A259">
            <v>178</v>
          </cell>
          <cell r="H259">
            <v>150</v>
          </cell>
        </row>
        <row r="260">
          <cell r="A260">
            <v>559</v>
          </cell>
          <cell r="H260">
            <v>150</v>
          </cell>
        </row>
        <row r="261">
          <cell r="A261">
            <v>129</v>
          </cell>
          <cell r="H261">
            <v>1900</v>
          </cell>
        </row>
        <row r="262">
          <cell r="A262">
            <v>47</v>
          </cell>
          <cell r="H262">
            <v>15</v>
          </cell>
        </row>
        <row r="263">
          <cell r="A263">
            <v>130</v>
          </cell>
          <cell r="H263">
            <v>10900</v>
          </cell>
        </row>
        <row r="264">
          <cell r="A264">
            <v>137</v>
          </cell>
          <cell r="H264">
            <v>9250</v>
          </cell>
        </row>
        <row r="265">
          <cell r="A265">
            <v>657</v>
          </cell>
          <cell r="H265">
            <v>1175</v>
          </cell>
        </row>
        <row r="266">
          <cell r="A266">
            <v>178</v>
          </cell>
          <cell r="H266">
            <v>1742</v>
          </cell>
        </row>
        <row r="267">
          <cell r="A267">
            <v>47</v>
          </cell>
          <cell r="H267">
            <v>7</v>
          </cell>
        </row>
        <row r="268">
          <cell r="A268">
            <v>696</v>
          </cell>
          <cell r="H268">
            <v>740</v>
          </cell>
        </row>
        <row r="269">
          <cell r="A269">
            <v>691</v>
          </cell>
          <cell r="H269">
            <v>1400</v>
          </cell>
        </row>
        <row r="270">
          <cell r="A270">
            <v>697</v>
          </cell>
          <cell r="H270">
            <v>6000</v>
          </cell>
        </row>
        <row r="271">
          <cell r="A271">
            <v>688</v>
          </cell>
          <cell r="H271">
            <v>660</v>
          </cell>
        </row>
        <row r="272">
          <cell r="A272">
            <v>698</v>
          </cell>
          <cell r="H272">
            <v>1500</v>
          </cell>
        </row>
        <row r="273">
          <cell r="A273">
            <v>698</v>
          </cell>
          <cell r="H273">
            <v>13600</v>
          </cell>
        </row>
        <row r="274">
          <cell r="A274">
            <v>665</v>
          </cell>
          <cell r="H274">
            <v>130</v>
          </cell>
        </row>
        <row r="275">
          <cell r="A275">
            <v>19</v>
          </cell>
          <cell r="H275">
            <v>6</v>
          </cell>
        </row>
        <row r="276">
          <cell r="A276">
            <v>61</v>
          </cell>
          <cell r="H276">
            <v>5</v>
          </cell>
        </row>
        <row r="277">
          <cell r="A277">
            <v>126</v>
          </cell>
          <cell r="H277">
            <v>950</v>
          </cell>
        </row>
        <row r="278">
          <cell r="A278">
            <v>66</v>
          </cell>
          <cell r="H278">
            <v>45</v>
          </cell>
        </row>
        <row r="279">
          <cell r="A279">
            <v>171</v>
          </cell>
          <cell r="H279">
            <v>230</v>
          </cell>
        </row>
        <row r="280">
          <cell r="A280">
            <v>692</v>
          </cell>
          <cell r="H280">
            <v>1000</v>
          </cell>
        </row>
        <row r="281">
          <cell r="A281">
            <v>692</v>
          </cell>
          <cell r="H281">
            <v>3000</v>
          </cell>
        </row>
        <row r="282">
          <cell r="A282">
            <v>692</v>
          </cell>
          <cell r="H282">
            <v>1500</v>
          </cell>
        </row>
        <row r="283">
          <cell r="A283">
            <v>692</v>
          </cell>
          <cell r="H283">
            <v>945</v>
          </cell>
        </row>
        <row r="284">
          <cell r="A284">
            <v>690</v>
          </cell>
          <cell r="H284">
            <v>1000</v>
          </cell>
        </row>
        <row r="285">
          <cell r="A285">
            <v>698</v>
          </cell>
          <cell r="H285">
            <v>125</v>
          </cell>
        </row>
        <row r="286">
          <cell r="A286">
            <v>218</v>
          </cell>
          <cell r="H286">
            <v>684</v>
          </cell>
        </row>
        <row r="287">
          <cell r="A287">
            <v>668</v>
          </cell>
          <cell r="H287">
            <v>48</v>
          </cell>
        </row>
        <row r="288">
          <cell r="A288">
            <v>184</v>
          </cell>
          <cell r="H288">
            <v>180</v>
          </cell>
        </row>
        <row r="289">
          <cell r="A289">
            <v>78</v>
          </cell>
          <cell r="H289">
            <v>65</v>
          </cell>
        </row>
        <row r="290">
          <cell r="A290">
            <v>17</v>
          </cell>
          <cell r="H290">
            <v>8</v>
          </cell>
        </row>
        <row r="291">
          <cell r="A291">
            <v>354</v>
          </cell>
          <cell r="H291">
            <v>100</v>
          </cell>
        </row>
        <row r="292">
          <cell r="A292">
            <v>61</v>
          </cell>
          <cell r="H292">
            <v>25</v>
          </cell>
        </row>
        <row r="293">
          <cell r="A293">
            <v>699</v>
          </cell>
          <cell r="H293">
            <v>2000</v>
          </cell>
        </row>
        <row r="294">
          <cell r="A294">
            <v>700</v>
          </cell>
          <cell r="H294">
            <v>19500</v>
          </cell>
        </row>
        <row r="295">
          <cell r="A295">
            <v>701</v>
          </cell>
          <cell r="H295">
            <v>1125</v>
          </cell>
        </row>
        <row r="296">
          <cell r="A296">
            <v>61</v>
          </cell>
          <cell r="H296">
            <v>35</v>
          </cell>
        </row>
        <row r="297">
          <cell r="A297">
            <v>9</v>
          </cell>
          <cell r="H297">
            <v>200</v>
          </cell>
        </row>
        <row r="298">
          <cell r="A298">
            <v>9</v>
          </cell>
          <cell r="H298">
            <v>282</v>
          </cell>
        </row>
        <row r="299">
          <cell r="A299">
            <v>111</v>
          </cell>
          <cell r="H299">
            <v>5500</v>
          </cell>
        </row>
        <row r="300">
          <cell r="A300">
            <v>688</v>
          </cell>
          <cell r="H300">
            <v>1000</v>
          </cell>
        </row>
        <row r="301">
          <cell r="A301">
            <v>349</v>
          </cell>
          <cell r="H301">
            <v>7</v>
          </cell>
        </row>
        <row r="302">
          <cell r="A302">
            <v>182</v>
          </cell>
          <cell r="H302">
            <v>80</v>
          </cell>
        </row>
        <row r="303">
          <cell r="A303">
            <v>196</v>
          </cell>
          <cell r="H303">
            <v>1250</v>
          </cell>
        </row>
        <row r="304">
          <cell r="A304">
            <v>704</v>
          </cell>
          <cell r="H304">
            <v>26000</v>
          </cell>
        </row>
        <row r="305">
          <cell r="A305">
            <v>553</v>
          </cell>
          <cell r="H305">
            <v>75</v>
          </cell>
        </row>
        <row r="306">
          <cell r="A306">
            <v>93</v>
          </cell>
          <cell r="H306">
            <v>750</v>
          </cell>
        </row>
        <row r="307">
          <cell r="A307">
            <v>17</v>
          </cell>
          <cell r="H307">
            <v>23</v>
          </cell>
        </row>
        <row r="308">
          <cell r="A308">
            <v>224</v>
          </cell>
          <cell r="H308">
            <v>2650</v>
          </cell>
        </row>
        <row r="309">
          <cell r="A309">
            <v>190</v>
          </cell>
          <cell r="H309">
            <v>40</v>
          </cell>
        </row>
        <row r="310">
          <cell r="A310">
            <v>155</v>
          </cell>
          <cell r="H310">
            <v>700</v>
          </cell>
        </row>
        <row r="311">
          <cell r="A311">
            <v>17</v>
          </cell>
          <cell r="H311">
            <v>570</v>
          </cell>
        </row>
        <row r="312">
          <cell r="A312">
            <v>703</v>
          </cell>
          <cell r="H312">
            <v>1651</v>
          </cell>
        </row>
        <row r="313">
          <cell r="A313">
            <v>682</v>
          </cell>
          <cell r="H313">
            <v>4600</v>
          </cell>
        </row>
        <row r="314">
          <cell r="A314">
            <v>196</v>
          </cell>
          <cell r="H314">
            <v>130</v>
          </cell>
        </row>
        <row r="315">
          <cell r="A315">
            <v>193</v>
          </cell>
          <cell r="H315">
            <v>125</v>
          </cell>
        </row>
        <row r="316">
          <cell r="A316">
            <v>477</v>
          </cell>
          <cell r="H316">
            <v>75</v>
          </cell>
        </row>
        <row r="317">
          <cell r="A317">
            <v>692</v>
          </cell>
          <cell r="H317">
            <v>3450</v>
          </cell>
        </row>
        <row r="318">
          <cell r="A318">
            <v>705</v>
          </cell>
          <cell r="H318">
            <v>15500</v>
          </cell>
        </row>
        <row r="319">
          <cell r="A319">
            <v>57</v>
          </cell>
          <cell r="H319">
            <v>325</v>
          </cell>
        </row>
        <row r="320">
          <cell r="A320">
            <v>201</v>
          </cell>
          <cell r="H320">
            <v>6700</v>
          </cell>
        </row>
        <row r="321">
          <cell r="A321">
            <v>208</v>
          </cell>
          <cell r="H321">
            <v>540</v>
          </cell>
        </row>
        <row r="322">
          <cell r="A322">
            <v>674</v>
          </cell>
          <cell r="H322">
            <v>3</v>
          </cell>
        </row>
        <row r="323">
          <cell r="A323">
            <v>126</v>
          </cell>
          <cell r="H323">
            <v>340</v>
          </cell>
        </row>
        <row r="324">
          <cell r="A324">
            <v>26</v>
          </cell>
          <cell r="H324">
            <v>1090</v>
          </cell>
        </row>
        <row r="325">
          <cell r="A325">
            <v>66</v>
          </cell>
          <cell r="H325">
            <v>1100</v>
          </cell>
        </row>
        <row r="326">
          <cell r="A326">
            <v>208</v>
          </cell>
          <cell r="H326">
            <v>1050</v>
          </cell>
        </row>
        <row r="327">
          <cell r="A327">
            <v>65</v>
          </cell>
          <cell r="H327">
            <v>1500</v>
          </cell>
        </row>
        <row r="328">
          <cell r="A328">
            <v>208</v>
          </cell>
          <cell r="H328">
            <v>1070</v>
          </cell>
        </row>
        <row r="329">
          <cell r="A329">
            <v>208</v>
          </cell>
          <cell r="H329">
            <v>990</v>
          </cell>
        </row>
        <row r="330">
          <cell r="A330">
            <v>692</v>
          </cell>
          <cell r="H330">
            <v>550</v>
          </cell>
        </row>
        <row r="331">
          <cell r="A331">
            <v>349</v>
          </cell>
          <cell r="H331">
            <v>25</v>
          </cell>
        </row>
        <row r="332">
          <cell r="A332">
            <v>126</v>
          </cell>
          <cell r="H332">
            <v>725</v>
          </cell>
        </row>
        <row r="333">
          <cell r="A333">
            <v>698</v>
          </cell>
          <cell r="H333">
            <v>875</v>
          </cell>
        </row>
        <row r="334">
          <cell r="A334">
            <v>703</v>
          </cell>
          <cell r="H334">
            <v>475</v>
          </cell>
        </row>
        <row r="335">
          <cell r="A335">
            <v>702</v>
          </cell>
          <cell r="H335">
            <v>1480</v>
          </cell>
        </row>
        <row r="336">
          <cell r="A336">
            <v>702</v>
          </cell>
          <cell r="H336">
            <v>400</v>
          </cell>
        </row>
        <row r="337">
          <cell r="A337">
            <v>180</v>
          </cell>
          <cell r="H337">
            <v>890</v>
          </cell>
        </row>
        <row r="338">
          <cell r="A338">
            <v>187</v>
          </cell>
          <cell r="H338">
            <v>1210</v>
          </cell>
        </row>
        <row r="339">
          <cell r="A339">
            <v>702</v>
          </cell>
          <cell r="H339">
            <v>1300</v>
          </cell>
        </row>
        <row r="340">
          <cell r="A340">
            <v>683</v>
          </cell>
          <cell r="H340">
            <v>700</v>
          </cell>
        </row>
        <row r="341">
          <cell r="A341">
            <v>156</v>
          </cell>
          <cell r="H341">
            <v>2500</v>
          </cell>
        </row>
        <row r="342">
          <cell r="A342">
            <v>683</v>
          </cell>
          <cell r="H342">
            <v>640</v>
          </cell>
        </row>
        <row r="343">
          <cell r="A343">
            <v>702</v>
          </cell>
          <cell r="H343">
            <v>2220</v>
          </cell>
        </row>
        <row r="344">
          <cell r="A344">
            <v>683</v>
          </cell>
          <cell r="H344">
            <v>1000</v>
          </cell>
        </row>
        <row r="345">
          <cell r="A345">
            <v>66</v>
          </cell>
          <cell r="H345">
            <v>20</v>
          </cell>
        </row>
        <row r="346">
          <cell r="A346">
            <v>706</v>
          </cell>
          <cell r="H346">
            <v>1590</v>
          </cell>
        </row>
        <row r="347">
          <cell r="A347">
            <v>702</v>
          </cell>
          <cell r="H347">
            <v>13330</v>
          </cell>
        </row>
        <row r="348">
          <cell r="A348">
            <v>224</v>
          </cell>
          <cell r="H348">
            <v>2000</v>
          </cell>
        </row>
        <row r="349">
          <cell r="A349">
            <v>181</v>
          </cell>
          <cell r="H349">
            <v>28</v>
          </cell>
        </row>
        <row r="350">
          <cell r="A350">
            <v>557</v>
          </cell>
          <cell r="H350">
            <v>770</v>
          </cell>
        </row>
        <row r="351">
          <cell r="A351">
            <v>9</v>
          </cell>
          <cell r="H351">
            <v>12200</v>
          </cell>
        </row>
        <row r="352">
          <cell r="A352">
            <v>136</v>
          </cell>
          <cell r="H352">
            <v>1520</v>
          </cell>
        </row>
        <row r="353">
          <cell r="A353">
            <v>709</v>
          </cell>
          <cell r="H353">
            <v>3600</v>
          </cell>
        </row>
        <row r="354">
          <cell r="A354">
            <v>707</v>
          </cell>
          <cell r="H354">
            <v>1900</v>
          </cell>
        </row>
        <row r="355">
          <cell r="A355">
            <v>708</v>
          </cell>
          <cell r="H355">
            <v>1300</v>
          </cell>
        </row>
        <row r="356">
          <cell r="A356">
            <v>710</v>
          </cell>
          <cell r="H356">
            <v>19267</v>
          </cell>
        </row>
        <row r="357">
          <cell r="A357">
            <v>710</v>
          </cell>
          <cell r="H357">
            <v>1500</v>
          </cell>
        </row>
        <row r="358">
          <cell r="A358">
            <v>710</v>
          </cell>
          <cell r="H358">
            <v>3301</v>
          </cell>
        </row>
        <row r="359">
          <cell r="A359">
            <v>711</v>
          </cell>
          <cell r="H359">
            <v>755</v>
          </cell>
        </row>
        <row r="360">
          <cell r="A360">
            <v>711</v>
          </cell>
          <cell r="H360">
            <v>5145</v>
          </cell>
        </row>
        <row r="361">
          <cell r="A361">
            <v>711</v>
          </cell>
          <cell r="H361">
            <v>22100</v>
          </cell>
        </row>
        <row r="362">
          <cell r="A362">
            <v>708</v>
          </cell>
          <cell r="H362">
            <v>263</v>
          </cell>
        </row>
        <row r="363">
          <cell r="A363">
            <v>147</v>
          </cell>
          <cell r="H363">
            <v>25900</v>
          </cell>
        </row>
        <row r="364">
          <cell r="A364">
            <v>148</v>
          </cell>
          <cell r="H364">
            <v>7100</v>
          </cell>
        </row>
        <row r="365">
          <cell r="A365">
            <v>180</v>
          </cell>
          <cell r="H365">
            <v>55</v>
          </cell>
        </row>
        <row r="366">
          <cell r="A366">
            <v>126</v>
          </cell>
          <cell r="H366">
            <v>1025</v>
          </cell>
        </row>
        <row r="367">
          <cell r="A367">
            <v>178</v>
          </cell>
          <cell r="H367">
            <v>740</v>
          </cell>
        </row>
        <row r="368">
          <cell r="A368">
            <v>226</v>
          </cell>
          <cell r="H368">
            <v>800</v>
          </cell>
        </row>
        <row r="369">
          <cell r="A369">
            <v>226</v>
          </cell>
          <cell r="H369">
            <v>750</v>
          </cell>
        </row>
        <row r="370">
          <cell r="A370">
            <v>11</v>
          </cell>
          <cell r="H370">
            <v>2650</v>
          </cell>
        </row>
        <row r="371">
          <cell r="A371">
            <v>692</v>
          </cell>
          <cell r="H371">
            <v>2000</v>
          </cell>
        </row>
        <row r="372">
          <cell r="A372">
            <v>9</v>
          </cell>
          <cell r="H372">
            <v>40</v>
          </cell>
        </row>
        <row r="373">
          <cell r="A373">
            <v>561</v>
          </cell>
          <cell r="H373">
            <v>270</v>
          </cell>
        </row>
        <row r="374">
          <cell r="A374">
            <v>708</v>
          </cell>
          <cell r="H374">
            <v>760</v>
          </cell>
        </row>
        <row r="375">
          <cell r="A375">
            <v>42</v>
          </cell>
          <cell r="H375">
            <v>200</v>
          </cell>
        </row>
        <row r="376">
          <cell r="A376">
            <v>707</v>
          </cell>
          <cell r="H376">
            <v>70</v>
          </cell>
        </row>
        <row r="377">
          <cell r="A377">
            <v>198</v>
          </cell>
          <cell r="H377">
            <v>467</v>
          </cell>
        </row>
        <row r="378">
          <cell r="A378">
            <v>657</v>
          </cell>
          <cell r="H378">
            <v>67</v>
          </cell>
        </row>
        <row r="379">
          <cell r="A379">
            <v>61</v>
          </cell>
          <cell r="H379">
            <v>20</v>
          </cell>
        </row>
        <row r="380">
          <cell r="A380">
            <v>3</v>
          </cell>
          <cell r="H380">
            <v>1000</v>
          </cell>
        </row>
        <row r="381">
          <cell r="A381">
            <v>3</v>
          </cell>
          <cell r="H381">
            <v>2250</v>
          </cell>
        </row>
        <row r="382">
          <cell r="A382">
            <v>713</v>
          </cell>
          <cell r="H382">
            <v>3550</v>
          </cell>
        </row>
        <row r="383">
          <cell r="A383">
            <v>553</v>
          </cell>
          <cell r="H383">
            <v>120</v>
          </cell>
        </row>
        <row r="384">
          <cell r="A384">
            <v>9</v>
          </cell>
          <cell r="H384">
            <v>1880</v>
          </cell>
        </row>
        <row r="385">
          <cell r="A385">
            <v>9</v>
          </cell>
          <cell r="H385">
            <v>140</v>
          </cell>
        </row>
        <row r="386">
          <cell r="A386">
            <v>196</v>
          </cell>
          <cell r="H386">
            <v>2080</v>
          </cell>
        </row>
        <row r="387">
          <cell r="A387">
            <v>452</v>
          </cell>
          <cell r="H387">
            <v>325</v>
          </cell>
        </row>
        <row r="388">
          <cell r="A388">
            <v>700</v>
          </cell>
          <cell r="H388">
            <v>3000</v>
          </cell>
        </row>
        <row r="389">
          <cell r="A389">
            <v>655</v>
          </cell>
          <cell r="H389">
            <v>1140</v>
          </cell>
        </row>
        <row r="390">
          <cell r="A390">
            <v>17</v>
          </cell>
          <cell r="H390">
            <v>50</v>
          </cell>
        </row>
        <row r="391">
          <cell r="A391">
            <v>188</v>
          </cell>
          <cell r="H391">
            <v>6</v>
          </cell>
        </row>
        <row r="392">
          <cell r="A392">
            <v>710</v>
          </cell>
          <cell r="H392">
            <v>5000</v>
          </cell>
        </row>
        <row r="393">
          <cell r="A393">
            <v>702</v>
          </cell>
          <cell r="H393">
            <v>1800</v>
          </cell>
        </row>
        <row r="394">
          <cell r="A394">
            <v>715</v>
          </cell>
          <cell r="H394">
            <v>11570</v>
          </cell>
        </row>
        <row r="395">
          <cell r="A395">
            <v>78</v>
          </cell>
          <cell r="H395">
            <v>2650</v>
          </cell>
        </row>
        <row r="396">
          <cell r="A396">
            <v>85</v>
          </cell>
          <cell r="H396">
            <v>1990</v>
          </cell>
        </row>
        <row r="397">
          <cell r="A397">
            <v>682</v>
          </cell>
          <cell r="H397">
            <v>4700</v>
          </cell>
        </row>
        <row r="398">
          <cell r="A398">
            <v>715</v>
          </cell>
          <cell r="H398">
            <v>8500</v>
          </cell>
        </row>
        <row r="399">
          <cell r="A399">
            <v>78</v>
          </cell>
          <cell r="H399">
            <v>1610</v>
          </cell>
        </row>
        <row r="400">
          <cell r="A400">
            <v>156</v>
          </cell>
          <cell r="H400">
            <v>2400</v>
          </cell>
        </row>
        <row r="401">
          <cell r="A401">
            <v>156</v>
          </cell>
          <cell r="H401">
            <v>2400</v>
          </cell>
        </row>
        <row r="402">
          <cell r="A402">
            <v>9</v>
          </cell>
          <cell r="H402">
            <v>195</v>
          </cell>
        </row>
        <row r="403">
          <cell r="A403">
            <v>553</v>
          </cell>
          <cell r="H403">
            <v>250</v>
          </cell>
        </row>
        <row r="404">
          <cell r="A404">
            <v>665</v>
          </cell>
          <cell r="H404">
            <v>100</v>
          </cell>
        </row>
        <row r="405">
          <cell r="A405">
            <v>156</v>
          </cell>
          <cell r="H405">
            <v>60</v>
          </cell>
        </row>
        <row r="406">
          <cell r="A406">
            <v>681</v>
          </cell>
          <cell r="H406">
            <v>250</v>
          </cell>
        </row>
        <row r="407">
          <cell r="A407">
            <v>188</v>
          </cell>
          <cell r="H407">
            <v>22</v>
          </cell>
        </row>
        <row r="408">
          <cell r="A408">
            <v>708</v>
          </cell>
          <cell r="H408">
            <v>200</v>
          </cell>
        </row>
        <row r="409">
          <cell r="A409">
            <v>105</v>
          </cell>
          <cell r="H409">
            <v>1100</v>
          </cell>
        </row>
        <row r="410">
          <cell r="A410">
            <v>61</v>
          </cell>
          <cell r="H410">
            <v>10</v>
          </cell>
        </row>
        <row r="411">
          <cell r="A411">
            <v>717</v>
          </cell>
          <cell r="H411">
            <v>2200</v>
          </cell>
        </row>
        <row r="412">
          <cell r="A412">
            <v>188</v>
          </cell>
          <cell r="H412">
            <v>6</v>
          </cell>
        </row>
        <row r="413">
          <cell r="A413">
            <v>9</v>
          </cell>
          <cell r="H413">
            <v>63</v>
          </cell>
        </row>
        <row r="414">
          <cell r="A414">
            <v>349</v>
          </cell>
          <cell r="H414">
            <v>38</v>
          </cell>
        </row>
        <row r="415">
          <cell r="A415">
            <v>3</v>
          </cell>
          <cell r="H415">
            <v>68</v>
          </cell>
        </row>
        <row r="416">
          <cell r="A416">
            <v>699</v>
          </cell>
          <cell r="H416">
            <v>35</v>
          </cell>
        </row>
        <row r="417">
          <cell r="A417">
            <v>700</v>
          </cell>
          <cell r="H417">
            <v>300</v>
          </cell>
        </row>
        <row r="418">
          <cell r="A418">
            <v>681</v>
          </cell>
          <cell r="H418">
            <v>1825</v>
          </cell>
        </row>
        <row r="419">
          <cell r="A419">
            <v>159</v>
          </cell>
          <cell r="H419">
            <v>460</v>
          </cell>
        </row>
        <row r="420">
          <cell r="A420">
            <v>707</v>
          </cell>
          <cell r="H420">
            <v>2125</v>
          </cell>
        </row>
        <row r="421">
          <cell r="A421">
            <v>193</v>
          </cell>
          <cell r="H421">
            <v>530</v>
          </cell>
        </row>
        <row r="422">
          <cell r="A422">
            <v>188</v>
          </cell>
          <cell r="H422">
            <v>6</v>
          </cell>
        </row>
        <row r="423">
          <cell r="A423">
            <v>11</v>
          </cell>
          <cell r="H423">
            <v>3750</v>
          </cell>
        </row>
        <row r="424">
          <cell r="A424">
            <v>66</v>
          </cell>
          <cell r="H424">
            <v>13</v>
          </cell>
        </row>
        <row r="425">
          <cell r="A425">
            <v>704</v>
          </cell>
          <cell r="H425">
            <v>1750</v>
          </cell>
        </row>
        <row r="426">
          <cell r="A426">
            <v>9</v>
          </cell>
          <cell r="H426">
            <v>415</v>
          </cell>
        </row>
        <row r="427">
          <cell r="A427">
            <v>19</v>
          </cell>
          <cell r="H427">
            <v>1</v>
          </cell>
        </row>
        <row r="428">
          <cell r="A428">
            <v>700</v>
          </cell>
          <cell r="H428">
            <v>220</v>
          </cell>
        </row>
        <row r="429">
          <cell r="A429">
            <v>704</v>
          </cell>
          <cell r="H429">
            <v>1500</v>
          </cell>
        </row>
        <row r="430">
          <cell r="A430">
            <v>210</v>
          </cell>
          <cell r="H430">
            <v>43</v>
          </cell>
        </row>
        <row r="431">
          <cell r="A431">
            <v>717</v>
          </cell>
          <cell r="H431">
            <v>1000</v>
          </cell>
        </row>
        <row r="432">
          <cell r="A432">
            <v>136</v>
          </cell>
          <cell r="H432">
            <v>2000</v>
          </cell>
        </row>
        <row r="433">
          <cell r="A433">
            <v>47</v>
          </cell>
          <cell r="H433">
            <v>7</v>
          </cell>
        </row>
        <row r="434">
          <cell r="A434">
            <v>47</v>
          </cell>
          <cell r="H434">
            <v>7</v>
          </cell>
        </row>
        <row r="435">
          <cell r="A435">
            <v>354</v>
          </cell>
          <cell r="H435">
            <v>30</v>
          </cell>
        </row>
        <row r="436">
          <cell r="A436">
            <v>354</v>
          </cell>
          <cell r="H436">
            <v>30</v>
          </cell>
        </row>
        <row r="437">
          <cell r="A437">
            <v>354</v>
          </cell>
          <cell r="H437">
            <v>30</v>
          </cell>
        </row>
        <row r="438">
          <cell r="A438">
            <v>699</v>
          </cell>
          <cell r="H438">
            <v>63</v>
          </cell>
        </row>
        <row r="439">
          <cell r="A439">
            <v>354</v>
          </cell>
          <cell r="H439">
            <v>16</v>
          </cell>
        </row>
        <row r="440">
          <cell r="A440">
            <v>156</v>
          </cell>
          <cell r="H440">
            <v>4980</v>
          </cell>
        </row>
        <row r="441">
          <cell r="A441">
            <v>486</v>
          </cell>
          <cell r="H441">
            <v>60</v>
          </cell>
        </row>
        <row r="442">
          <cell r="A442">
            <v>105</v>
          </cell>
          <cell r="H442">
            <v>775</v>
          </cell>
        </row>
        <row r="443">
          <cell r="A443">
            <v>354</v>
          </cell>
          <cell r="H443">
            <v>26</v>
          </cell>
        </row>
        <row r="444">
          <cell r="A444">
            <v>47</v>
          </cell>
          <cell r="H444">
            <v>7</v>
          </cell>
        </row>
        <row r="445">
          <cell r="A445">
            <v>717</v>
          </cell>
          <cell r="H445">
            <v>2230</v>
          </cell>
        </row>
        <row r="446">
          <cell r="A446">
            <v>88</v>
          </cell>
          <cell r="H446">
            <v>875</v>
          </cell>
        </row>
        <row r="447">
          <cell r="A447">
            <v>709</v>
          </cell>
          <cell r="H447">
            <v>10</v>
          </cell>
        </row>
        <row r="448">
          <cell r="A448">
            <v>66</v>
          </cell>
          <cell r="H448">
            <v>50</v>
          </cell>
        </row>
        <row r="449">
          <cell r="A449">
            <v>93</v>
          </cell>
          <cell r="H449">
            <v>15</v>
          </cell>
        </row>
        <row r="450">
          <cell r="A450">
            <v>43</v>
          </cell>
          <cell r="H450">
            <v>200</v>
          </cell>
        </row>
        <row r="451">
          <cell r="A451">
            <v>88</v>
          </cell>
          <cell r="H451">
            <v>2400</v>
          </cell>
        </row>
        <row r="452">
          <cell r="A452">
            <v>666</v>
          </cell>
          <cell r="H452">
            <v>725</v>
          </cell>
        </row>
        <row r="453">
          <cell r="A453">
            <v>1</v>
          </cell>
          <cell r="H453">
            <v>221</v>
          </cell>
        </row>
        <row r="454">
          <cell r="A454">
            <v>17</v>
          </cell>
          <cell r="H454">
            <v>111</v>
          </cell>
        </row>
        <row r="455">
          <cell r="A455">
            <v>708</v>
          </cell>
          <cell r="H455">
            <v>85</v>
          </cell>
        </row>
        <row r="456">
          <cell r="A456">
            <v>16</v>
          </cell>
          <cell r="H456">
            <v>80</v>
          </cell>
        </row>
        <row r="457">
          <cell r="A457">
            <v>707</v>
          </cell>
          <cell r="H457">
            <v>400</v>
          </cell>
        </row>
        <row r="458">
          <cell r="A458">
            <v>178</v>
          </cell>
          <cell r="H458">
            <v>165</v>
          </cell>
        </row>
        <row r="459">
          <cell r="A459">
            <v>349</v>
          </cell>
          <cell r="H459">
            <v>20</v>
          </cell>
        </row>
        <row r="460">
          <cell r="A460">
            <v>675</v>
          </cell>
          <cell r="H460">
            <v>1000</v>
          </cell>
        </row>
        <row r="461">
          <cell r="A461">
            <v>155</v>
          </cell>
          <cell r="H461">
            <v>195</v>
          </cell>
        </row>
        <row r="462">
          <cell r="A462">
            <v>716</v>
          </cell>
          <cell r="H462">
            <v>59</v>
          </cell>
        </row>
        <row r="463">
          <cell r="A463">
            <v>27</v>
          </cell>
          <cell r="H463">
            <v>28000</v>
          </cell>
        </row>
        <row r="464">
          <cell r="A464">
            <v>689</v>
          </cell>
          <cell r="H464">
            <v>172000</v>
          </cell>
        </row>
        <row r="465">
          <cell r="A465">
            <v>707</v>
          </cell>
          <cell r="H465">
            <v>1350</v>
          </cell>
        </row>
        <row r="466">
          <cell r="A466">
            <v>704</v>
          </cell>
          <cell r="H466">
            <v>950</v>
          </cell>
        </row>
        <row r="467">
          <cell r="A467">
            <v>88</v>
          </cell>
          <cell r="H467">
            <v>1600</v>
          </cell>
        </row>
        <row r="468">
          <cell r="A468">
            <v>723</v>
          </cell>
          <cell r="H468">
            <v>130</v>
          </cell>
        </row>
        <row r="469">
          <cell r="A469">
            <v>3</v>
          </cell>
          <cell r="H469">
            <v>720</v>
          </cell>
        </row>
        <row r="470">
          <cell r="A470">
            <v>713</v>
          </cell>
          <cell r="H470">
            <v>2300</v>
          </cell>
        </row>
        <row r="471">
          <cell r="A471">
            <v>708</v>
          </cell>
          <cell r="H471">
            <v>950</v>
          </cell>
        </row>
        <row r="472">
          <cell r="A472">
            <v>179</v>
          </cell>
          <cell r="H472">
            <v>4950</v>
          </cell>
        </row>
        <row r="473">
          <cell r="A473">
            <v>68</v>
          </cell>
          <cell r="H473">
            <v>38</v>
          </cell>
        </row>
        <row r="474">
          <cell r="A474">
            <v>78</v>
          </cell>
          <cell r="H474">
            <v>2000</v>
          </cell>
        </row>
        <row r="475">
          <cell r="A475">
            <v>353</v>
          </cell>
          <cell r="H475">
            <v>6</v>
          </cell>
        </row>
        <row r="476">
          <cell r="A476">
            <v>42</v>
          </cell>
          <cell r="H476">
            <v>30</v>
          </cell>
        </row>
        <row r="477">
          <cell r="A477">
            <v>713</v>
          </cell>
          <cell r="H477">
            <v>290</v>
          </cell>
        </row>
        <row r="478">
          <cell r="A478">
            <v>719</v>
          </cell>
          <cell r="H478">
            <v>29193</v>
          </cell>
        </row>
        <row r="479">
          <cell r="A479">
            <v>717</v>
          </cell>
          <cell r="H479">
            <v>2100</v>
          </cell>
        </row>
        <row r="480">
          <cell r="A480">
            <v>730</v>
          </cell>
          <cell r="H480">
            <v>18176</v>
          </cell>
        </row>
        <row r="481">
          <cell r="A481">
            <v>713</v>
          </cell>
          <cell r="H481">
            <v>125</v>
          </cell>
        </row>
        <row r="482">
          <cell r="A482">
            <v>719</v>
          </cell>
          <cell r="H482">
            <v>1300</v>
          </cell>
        </row>
        <row r="483">
          <cell r="A483">
            <v>720</v>
          </cell>
          <cell r="H483">
            <v>8970</v>
          </cell>
        </row>
        <row r="484">
          <cell r="A484">
            <v>1</v>
          </cell>
          <cell r="H484">
            <v>30</v>
          </cell>
        </row>
        <row r="485">
          <cell r="A485">
            <v>9</v>
          </cell>
          <cell r="H485">
            <v>600</v>
          </cell>
        </row>
        <row r="486">
          <cell r="A486">
            <v>353</v>
          </cell>
          <cell r="H486">
            <v>40</v>
          </cell>
        </row>
        <row r="487">
          <cell r="A487">
            <v>156</v>
          </cell>
          <cell r="H487">
            <v>77</v>
          </cell>
        </row>
        <row r="488">
          <cell r="A488">
            <v>681</v>
          </cell>
          <cell r="H488">
            <v>250</v>
          </cell>
        </row>
        <row r="489">
          <cell r="A489">
            <v>198</v>
          </cell>
          <cell r="H489">
            <v>2850</v>
          </cell>
        </row>
        <row r="490">
          <cell r="A490">
            <v>726</v>
          </cell>
          <cell r="H490">
            <v>800</v>
          </cell>
        </row>
        <row r="491">
          <cell r="A491">
            <v>720</v>
          </cell>
          <cell r="H491">
            <v>3090</v>
          </cell>
        </row>
        <row r="492">
          <cell r="A492">
            <v>677</v>
          </cell>
          <cell r="H492">
            <v>950</v>
          </cell>
        </row>
        <row r="493">
          <cell r="A493">
            <v>489</v>
          </cell>
          <cell r="H493">
            <v>400</v>
          </cell>
        </row>
        <row r="494">
          <cell r="A494">
            <v>157</v>
          </cell>
          <cell r="H494">
            <v>1170</v>
          </cell>
        </row>
        <row r="495">
          <cell r="A495">
            <v>110</v>
          </cell>
          <cell r="H495">
            <v>2500</v>
          </cell>
        </row>
        <row r="496">
          <cell r="A496">
            <v>720</v>
          </cell>
          <cell r="H496">
            <v>3800</v>
          </cell>
        </row>
        <row r="497">
          <cell r="A497">
            <v>720</v>
          </cell>
          <cell r="H497">
            <v>2200</v>
          </cell>
        </row>
        <row r="498">
          <cell r="A498">
            <v>124</v>
          </cell>
          <cell r="H498">
            <v>3750</v>
          </cell>
        </row>
        <row r="499">
          <cell r="A499">
            <v>1</v>
          </cell>
          <cell r="H499">
            <v>18</v>
          </cell>
        </row>
        <row r="500">
          <cell r="A500">
            <v>355</v>
          </cell>
          <cell r="H500">
            <v>37</v>
          </cell>
        </row>
        <row r="501">
          <cell r="A501">
            <v>557</v>
          </cell>
          <cell r="H501">
            <v>1500</v>
          </cell>
        </row>
        <row r="502">
          <cell r="A502">
            <v>11</v>
          </cell>
          <cell r="H502">
            <v>875</v>
          </cell>
        </row>
        <row r="503">
          <cell r="A503">
            <v>709</v>
          </cell>
          <cell r="H503">
            <v>10</v>
          </cell>
        </row>
        <row r="504">
          <cell r="A504">
            <v>709</v>
          </cell>
          <cell r="H504">
            <v>6</v>
          </cell>
        </row>
        <row r="505">
          <cell r="A505">
            <v>557</v>
          </cell>
          <cell r="H505">
            <v>1200</v>
          </cell>
        </row>
        <row r="506">
          <cell r="A506">
            <v>705</v>
          </cell>
          <cell r="H506">
            <v>5150</v>
          </cell>
        </row>
        <row r="507">
          <cell r="A507">
            <v>354</v>
          </cell>
          <cell r="H507">
            <v>15</v>
          </cell>
        </row>
        <row r="508">
          <cell r="A508">
            <v>724</v>
          </cell>
          <cell r="H508">
            <v>400</v>
          </cell>
        </row>
        <row r="509">
          <cell r="A509">
            <v>726</v>
          </cell>
          <cell r="H509">
            <v>263</v>
          </cell>
        </row>
        <row r="510">
          <cell r="A510">
            <v>720</v>
          </cell>
          <cell r="H510">
            <v>5200</v>
          </cell>
        </row>
        <row r="511">
          <cell r="A511">
            <v>190</v>
          </cell>
          <cell r="H511">
            <v>104</v>
          </cell>
        </row>
        <row r="512">
          <cell r="A512">
            <v>133</v>
          </cell>
          <cell r="H512">
            <v>280</v>
          </cell>
        </row>
        <row r="513">
          <cell r="A513">
            <v>47</v>
          </cell>
          <cell r="H513">
            <v>18</v>
          </cell>
        </row>
        <row r="514">
          <cell r="A514">
            <v>662</v>
          </cell>
          <cell r="H514">
            <v>78</v>
          </cell>
        </row>
        <row r="515">
          <cell r="A515">
            <v>9</v>
          </cell>
          <cell r="H515">
            <v>600</v>
          </cell>
        </row>
        <row r="516">
          <cell r="A516">
            <v>184</v>
          </cell>
          <cell r="H516">
            <v>200</v>
          </cell>
        </row>
        <row r="517">
          <cell r="A517">
            <v>42</v>
          </cell>
          <cell r="H517">
            <v>415</v>
          </cell>
        </row>
        <row r="518">
          <cell r="A518">
            <v>9</v>
          </cell>
          <cell r="H518">
            <v>2100</v>
          </cell>
        </row>
        <row r="519">
          <cell r="A519">
            <v>77</v>
          </cell>
          <cell r="H519">
            <v>1680</v>
          </cell>
        </row>
        <row r="520">
          <cell r="A520">
            <v>9</v>
          </cell>
          <cell r="H520">
            <v>175</v>
          </cell>
        </row>
        <row r="521">
          <cell r="A521">
            <v>9</v>
          </cell>
          <cell r="H521">
            <v>180</v>
          </cell>
        </row>
        <row r="522">
          <cell r="A522">
            <v>196</v>
          </cell>
          <cell r="H522">
            <v>1600</v>
          </cell>
        </row>
        <row r="523">
          <cell r="A523">
            <v>723</v>
          </cell>
          <cell r="H523">
            <v>140</v>
          </cell>
        </row>
        <row r="524">
          <cell r="A524">
            <v>719</v>
          </cell>
          <cell r="H524">
            <v>1017</v>
          </cell>
        </row>
        <row r="525">
          <cell r="A525">
            <v>662</v>
          </cell>
          <cell r="H525">
            <v>65</v>
          </cell>
        </row>
        <row r="526">
          <cell r="A526">
            <v>159</v>
          </cell>
          <cell r="H526">
            <v>450</v>
          </cell>
        </row>
        <row r="527">
          <cell r="A527">
            <v>681</v>
          </cell>
          <cell r="H527">
            <v>1800</v>
          </cell>
        </row>
        <row r="528">
          <cell r="A528">
            <v>196</v>
          </cell>
          <cell r="H528">
            <v>415</v>
          </cell>
        </row>
        <row r="529">
          <cell r="A529">
            <v>42</v>
          </cell>
          <cell r="H529">
            <v>7625</v>
          </cell>
        </row>
        <row r="530">
          <cell r="A530">
            <v>180</v>
          </cell>
          <cell r="H530">
            <v>1250</v>
          </cell>
        </row>
        <row r="531">
          <cell r="A531">
            <v>718</v>
          </cell>
          <cell r="H531">
            <v>30</v>
          </cell>
        </row>
        <row r="532">
          <cell r="A532">
            <v>720</v>
          </cell>
          <cell r="H532">
            <v>6870</v>
          </cell>
        </row>
        <row r="533">
          <cell r="A533">
            <v>720</v>
          </cell>
          <cell r="H533">
            <v>4142</v>
          </cell>
        </row>
        <row r="534">
          <cell r="A534">
            <v>61</v>
          </cell>
          <cell r="H534">
            <v>8</v>
          </cell>
        </row>
        <row r="535">
          <cell r="A535">
            <v>68</v>
          </cell>
          <cell r="H535">
            <v>5</v>
          </cell>
        </row>
        <row r="536">
          <cell r="A536">
            <v>9</v>
          </cell>
          <cell r="H536">
            <v>50</v>
          </cell>
        </row>
        <row r="537">
          <cell r="A537">
            <v>178</v>
          </cell>
          <cell r="H537">
            <v>1800</v>
          </cell>
        </row>
        <row r="538">
          <cell r="A538">
            <v>731</v>
          </cell>
          <cell r="H538">
            <v>120</v>
          </cell>
        </row>
        <row r="539">
          <cell r="A539">
            <v>726</v>
          </cell>
          <cell r="H539">
            <v>1500</v>
          </cell>
        </row>
        <row r="540">
          <cell r="A540">
            <v>136</v>
          </cell>
          <cell r="H540">
            <v>1300</v>
          </cell>
        </row>
        <row r="541">
          <cell r="A541">
            <v>699</v>
          </cell>
          <cell r="H541">
            <v>150</v>
          </cell>
        </row>
        <row r="542">
          <cell r="A542">
            <v>11</v>
          </cell>
          <cell r="H542">
            <v>1500</v>
          </cell>
        </row>
        <row r="543">
          <cell r="A543">
            <v>720</v>
          </cell>
          <cell r="H543">
            <v>1500</v>
          </cell>
        </row>
        <row r="544">
          <cell r="A544">
            <v>720</v>
          </cell>
          <cell r="H544">
            <v>1370</v>
          </cell>
        </row>
        <row r="545">
          <cell r="A545">
            <v>180</v>
          </cell>
          <cell r="H545">
            <v>130</v>
          </cell>
        </row>
        <row r="546">
          <cell r="A546">
            <v>662</v>
          </cell>
          <cell r="H546">
            <v>50</v>
          </cell>
        </row>
        <row r="547">
          <cell r="A547">
            <v>720</v>
          </cell>
          <cell r="H547">
            <v>2000</v>
          </cell>
        </row>
        <row r="548">
          <cell r="A548">
            <v>734</v>
          </cell>
          <cell r="H548">
            <v>15</v>
          </cell>
        </row>
        <row r="549">
          <cell r="A549">
            <v>732</v>
          </cell>
          <cell r="H549">
            <v>375</v>
          </cell>
        </row>
        <row r="550">
          <cell r="A550">
            <v>731</v>
          </cell>
          <cell r="H550">
            <v>50</v>
          </cell>
        </row>
        <row r="551">
          <cell r="A551">
            <v>719</v>
          </cell>
          <cell r="H551">
            <v>5975</v>
          </cell>
        </row>
        <row r="552">
          <cell r="A552">
            <v>47</v>
          </cell>
          <cell r="H552">
            <v>45</v>
          </cell>
        </row>
        <row r="553">
          <cell r="A553">
            <v>224</v>
          </cell>
          <cell r="H553">
            <v>2100</v>
          </cell>
        </row>
      </sheetData>
      <sheetData sheetId="1" refreshError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10308-AB74-4C63-ABCF-7B89150949C3}">
  <sheetPr>
    <pageSetUpPr fitToPage="1"/>
  </sheetPr>
  <dimension ref="A1:U18"/>
  <sheetViews>
    <sheetView tabSelected="1" workbookViewId="0">
      <selection activeCell="B8" sqref="B8"/>
    </sheetView>
  </sheetViews>
  <sheetFormatPr defaultRowHeight="12.75" x14ac:dyDescent="0.2"/>
  <cols>
    <col min="1" max="1" width="14.85546875" style="27" customWidth="1"/>
    <col min="2" max="2" width="11.85546875" style="27" customWidth="1"/>
    <col min="3" max="3" width="3.5703125" style="27" customWidth="1"/>
    <col min="4" max="4" width="10.5703125" style="27" customWidth="1"/>
    <col min="5" max="5" width="17.7109375" style="27" hidden="1" customWidth="1"/>
    <col min="6" max="6" width="13.7109375" style="27" customWidth="1"/>
    <col min="7" max="7" width="17.85546875" style="27" hidden="1" customWidth="1"/>
    <col min="8" max="8" width="14.140625" style="27" customWidth="1"/>
    <col min="9" max="9" width="4.42578125" style="27" customWidth="1"/>
    <col min="10" max="10" width="18.5703125" style="27" customWidth="1"/>
    <col min="11" max="11" width="14.7109375" style="27" hidden="1" customWidth="1"/>
    <col min="12" max="12" width="11" style="27" hidden="1" customWidth="1"/>
    <col min="13" max="13" width="14.28515625" style="27" customWidth="1"/>
    <col min="14" max="14" width="17.5703125" style="27" hidden="1" customWidth="1"/>
    <col min="15" max="15" width="13.7109375" style="27" customWidth="1"/>
    <col min="16" max="17" width="13.7109375" style="27" hidden="1" customWidth="1"/>
    <col min="18" max="18" width="17.5703125" style="27" customWidth="1"/>
    <col min="19" max="19" width="17.85546875" style="27" customWidth="1"/>
    <col min="20" max="20" width="20.5703125" style="27" customWidth="1"/>
    <col min="21" max="21" width="11.85546875" style="27" customWidth="1"/>
    <col min="22" max="263" width="9.140625" style="27"/>
    <col min="264" max="264" width="14.85546875" style="27" customWidth="1"/>
    <col min="265" max="265" width="11.85546875" style="27" customWidth="1"/>
    <col min="266" max="266" width="3.5703125" style="27" customWidth="1"/>
    <col min="267" max="267" width="10.5703125" style="27" customWidth="1"/>
    <col min="268" max="268" width="17.7109375" style="27" customWidth="1"/>
    <col min="269" max="269" width="17" style="27" customWidth="1"/>
    <col min="270" max="270" width="17.85546875" style="27" customWidth="1"/>
    <col min="271" max="271" width="19.140625" style="27" customWidth="1"/>
    <col min="272" max="272" width="4.42578125" style="27" customWidth="1"/>
    <col min="273" max="273" width="17.5703125" style="27" customWidth="1"/>
    <col min="274" max="274" width="23" style="27" customWidth="1"/>
    <col min="275" max="275" width="10.42578125" style="27" customWidth="1"/>
    <col min="276" max="276" width="20.5703125" style="27" customWidth="1"/>
    <col min="277" max="277" width="11.85546875" style="27" customWidth="1"/>
    <col min="278" max="519" width="9.140625" style="27"/>
    <col min="520" max="520" width="14.85546875" style="27" customWidth="1"/>
    <col min="521" max="521" width="11.85546875" style="27" customWidth="1"/>
    <col min="522" max="522" width="3.5703125" style="27" customWidth="1"/>
    <col min="523" max="523" width="10.5703125" style="27" customWidth="1"/>
    <col min="524" max="524" width="17.7109375" style="27" customWidth="1"/>
    <col min="525" max="525" width="17" style="27" customWidth="1"/>
    <col min="526" max="526" width="17.85546875" style="27" customWidth="1"/>
    <col min="527" max="527" width="19.140625" style="27" customWidth="1"/>
    <col min="528" max="528" width="4.42578125" style="27" customWidth="1"/>
    <col min="529" max="529" width="17.5703125" style="27" customWidth="1"/>
    <col min="530" max="530" width="23" style="27" customWidth="1"/>
    <col min="531" max="531" width="10.42578125" style="27" customWidth="1"/>
    <col min="532" max="532" width="20.5703125" style="27" customWidth="1"/>
    <col min="533" max="533" width="11.85546875" style="27" customWidth="1"/>
    <col min="534" max="775" width="9.140625" style="27"/>
    <col min="776" max="776" width="14.85546875" style="27" customWidth="1"/>
    <col min="777" max="777" width="11.85546875" style="27" customWidth="1"/>
    <col min="778" max="778" width="3.5703125" style="27" customWidth="1"/>
    <col min="779" max="779" width="10.5703125" style="27" customWidth="1"/>
    <col min="780" max="780" width="17.7109375" style="27" customWidth="1"/>
    <col min="781" max="781" width="17" style="27" customWidth="1"/>
    <col min="782" max="782" width="17.85546875" style="27" customWidth="1"/>
    <col min="783" max="783" width="19.140625" style="27" customWidth="1"/>
    <col min="784" max="784" width="4.42578125" style="27" customWidth="1"/>
    <col min="785" max="785" width="17.5703125" style="27" customWidth="1"/>
    <col min="786" max="786" width="23" style="27" customWidth="1"/>
    <col min="787" max="787" width="10.42578125" style="27" customWidth="1"/>
    <col min="788" max="788" width="20.5703125" style="27" customWidth="1"/>
    <col min="789" max="789" width="11.85546875" style="27" customWidth="1"/>
    <col min="790" max="1031" width="9.140625" style="27"/>
    <col min="1032" max="1032" width="14.85546875" style="27" customWidth="1"/>
    <col min="1033" max="1033" width="11.85546875" style="27" customWidth="1"/>
    <col min="1034" max="1034" width="3.5703125" style="27" customWidth="1"/>
    <col min="1035" max="1035" width="10.5703125" style="27" customWidth="1"/>
    <col min="1036" max="1036" width="17.7109375" style="27" customWidth="1"/>
    <col min="1037" max="1037" width="17" style="27" customWidth="1"/>
    <col min="1038" max="1038" width="17.85546875" style="27" customWidth="1"/>
    <col min="1039" max="1039" width="19.140625" style="27" customWidth="1"/>
    <col min="1040" max="1040" width="4.42578125" style="27" customWidth="1"/>
    <col min="1041" max="1041" width="17.5703125" style="27" customWidth="1"/>
    <col min="1042" max="1042" width="23" style="27" customWidth="1"/>
    <col min="1043" max="1043" width="10.42578125" style="27" customWidth="1"/>
    <col min="1044" max="1044" width="20.5703125" style="27" customWidth="1"/>
    <col min="1045" max="1045" width="11.85546875" style="27" customWidth="1"/>
    <col min="1046" max="1287" width="9.140625" style="27"/>
    <col min="1288" max="1288" width="14.85546875" style="27" customWidth="1"/>
    <col min="1289" max="1289" width="11.85546875" style="27" customWidth="1"/>
    <col min="1290" max="1290" width="3.5703125" style="27" customWidth="1"/>
    <col min="1291" max="1291" width="10.5703125" style="27" customWidth="1"/>
    <col min="1292" max="1292" width="17.7109375" style="27" customWidth="1"/>
    <col min="1293" max="1293" width="17" style="27" customWidth="1"/>
    <col min="1294" max="1294" width="17.85546875" style="27" customWidth="1"/>
    <col min="1295" max="1295" width="19.140625" style="27" customWidth="1"/>
    <col min="1296" max="1296" width="4.42578125" style="27" customWidth="1"/>
    <col min="1297" max="1297" width="17.5703125" style="27" customWidth="1"/>
    <col min="1298" max="1298" width="23" style="27" customWidth="1"/>
    <col min="1299" max="1299" width="10.42578125" style="27" customWidth="1"/>
    <col min="1300" max="1300" width="20.5703125" style="27" customWidth="1"/>
    <col min="1301" max="1301" width="11.85546875" style="27" customWidth="1"/>
    <col min="1302" max="1543" width="9.140625" style="27"/>
    <col min="1544" max="1544" width="14.85546875" style="27" customWidth="1"/>
    <col min="1545" max="1545" width="11.85546875" style="27" customWidth="1"/>
    <col min="1546" max="1546" width="3.5703125" style="27" customWidth="1"/>
    <col min="1547" max="1547" width="10.5703125" style="27" customWidth="1"/>
    <col min="1548" max="1548" width="17.7109375" style="27" customWidth="1"/>
    <col min="1549" max="1549" width="17" style="27" customWidth="1"/>
    <col min="1550" max="1550" width="17.85546875" style="27" customWidth="1"/>
    <col min="1551" max="1551" width="19.140625" style="27" customWidth="1"/>
    <col min="1552" max="1552" width="4.42578125" style="27" customWidth="1"/>
    <col min="1553" max="1553" width="17.5703125" style="27" customWidth="1"/>
    <col min="1554" max="1554" width="23" style="27" customWidth="1"/>
    <col min="1555" max="1555" width="10.42578125" style="27" customWidth="1"/>
    <col min="1556" max="1556" width="20.5703125" style="27" customWidth="1"/>
    <col min="1557" max="1557" width="11.85546875" style="27" customWidth="1"/>
    <col min="1558" max="1799" width="9.140625" style="27"/>
    <col min="1800" max="1800" width="14.85546875" style="27" customWidth="1"/>
    <col min="1801" max="1801" width="11.85546875" style="27" customWidth="1"/>
    <col min="1802" max="1802" width="3.5703125" style="27" customWidth="1"/>
    <col min="1803" max="1803" width="10.5703125" style="27" customWidth="1"/>
    <col min="1804" max="1804" width="17.7109375" style="27" customWidth="1"/>
    <col min="1805" max="1805" width="17" style="27" customWidth="1"/>
    <col min="1806" max="1806" width="17.85546875" style="27" customWidth="1"/>
    <col min="1807" max="1807" width="19.140625" style="27" customWidth="1"/>
    <col min="1808" max="1808" width="4.42578125" style="27" customWidth="1"/>
    <col min="1809" max="1809" width="17.5703125" style="27" customWidth="1"/>
    <col min="1810" max="1810" width="23" style="27" customWidth="1"/>
    <col min="1811" max="1811" width="10.42578125" style="27" customWidth="1"/>
    <col min="1812" max="1812" width="20.5703125" style="27" customWidth="1"/>
    <col min="1813" max="1813" width="11.85546875" style="27" customWidth="1"/>
    <col min="1814" max="2055" width="9.140625" style="27"/>
    <col min="2056" max="2056" width="14.85546875" style="27" customWidth="1"/>
    <col min="2057" max="2057" width="11.85546875" style="27" customWidth="1"/>
    <col min="2058" max="2058" width="3.5703125" style="27" customWidth="1"/>
    <col min="2059" max="2059" width="10.5703125" style="27" customWidth="1"/>
    <col min="2060" max="2060" width="17.7109375" style="27" customWidth="1"/>
    <col min="2061" max="2061" width="17" style="27" customWidth="1"/>
    <col min="2062" max="2062" width="17.85546875" style="27" customWidth="1"/>
    <col min="2063" max="2063" width="19.140625" style="27" customWidth="1"/>
    <col min="2064" max="2064" width="4.42578125" style="27" customWidth="1"/>
    <col min="2065" max="2065" width="17.5703125" style="27" customWidth="1"/>
    <col min="2066" max="2066" width="23" style="27" customWidth="1"/>
    <col min="2067" max="2067" width="10.42578125" style="27" customWidth="1"/>
    <col min="2068" max="2068" width="20.5703125" style="27" customWidth="1"/>
    <col min="2069" max="2069" width="11.85546875" style="27" customWidth="1"/>
    <col min="2070" max="2311" width="9.140625" style="27"/>
    <col min="2312" max="2312" width="14.85546875" style="27" customWidth="1"/>
    <col min="2313" max="2313" width="11.85546875" style="27" customWidth="1"/>
    <col min="2314" max="2314" width="3.5703125" style="27" customWidth="1"/>
    <col min="2315" max="2315" width="10.5703125" style="27" customWidth="1"/>
    <col min="2316" max="2316" width="17.7109375" style="27" customWidth="1"/>
    <col min="2317" max="2317" width="17" style="27" customWidth="1"/>
    <col min="2318" max="2318" width="17.85546875" style="27" customWidth="1"/>
    <col min="2319" max="2319" width="19.140625" style="27" customWidth="1"/>
    <col min="2320" max="2320" width="4.42578125" style="27" customWidth="1"/>
    <col min="2321" max="2321" width="17.5703125" style="27" customWidth="1"/>
    <col min="2322" max="2322" width="23" style="27" customWidth="1"/>
    <col min="2323" max="2323" width="10.42578125" style="27" customWidth="1"/>
    <col min="2324" max="2324" width="20.5703125" style="27" customWidth="1"/>
    <col min="2325" max="2325" width="11.85546875" style="27" customWidth="1"/>
    <col min="2326" max="2567" width="9.140625" style="27"/>
    <col min="2568" max="2568" width="14.85546875" style="27" customWidth="1"/>
    <col min="2569" max="2569" width="11.85546875" style="27" customWidth="1"/>
    <col min="2570" max="2570" width="3.5703125" style="27" customWidth="1"/>
    <col min="2571" max="2571" width="10.5703125" style="27" customWidth="1"/>
    <col min="2572" max="2572" width="17.7109375" style="27" customWidth="1"/>
    <col min="2573" max="2573" width="17" style="27" customWidth="1"/>
    <col min="2574" max="2574" width="17.85546875" style="27" customWidth="1"/>
    <col min="2575" max="2575" width="19.140625" style="27" customWidth="1"/>
    <col min="2576" max="2576" width="4.42578125" style="27" customWidth="1"/>
    <col min="2577" max="2577" width="17.5703125" style="27" customWidth="1"/>
    <col min="2578" max="2578" width="23" style="27" customWidth="1"/>
    <col min="2579" max="2579" width="10.42578125" style="27" customWidth="1"/>
    <col min="2580" max="2580" width="20.5703125" style="27" customWidth="1"/>
    <col min="2581" max="2581" width="11.85546875" style="27" customWidth="1"/>
    <col min="2582" max="2823" width="9.140625" style="27"/>
    <col min="2824" max="2824" width="14.85546875" style="27" customWidth="1"/>
    <col min="2825" max="2825" width="11.85546875" style="27" customWidth="1"/>
    <col min="2826" max="2826" width="3.5703125" style="27" customWidth="1"/>
    <col min="2827" max="2827" width="10.5703125" style="27" customWidth="1"/>
    <col min="2828" max="2828" width="17.7109375" style="27" customWidth="1"/>
    <col min="2829" max="2829" width="17" style="27" customWidth="1"/>
    <col min="2830" max="2830" width="17.85546875" style="27" customWidth="1"/>
    <col min="2831" max="2831" width="19.140625" style="27" customWidth="1"/>
    <col min="2832" max="2832" width="4.42578125" style="27" customWidth="1"/>
    <col min="2833" max="2833" width="17.5703125" style="27" customWidth="1"/>
    <col min="2834" max="2834" width="23" style="27" customWidth="1"/>
    <col min="2835" max="2835" width="10.42578125" style="27" customWidth="1"/>
    <col min="2836" max="2836" width="20.5703125" style="27" customWidth="1"/>
    <col min="2837" max="2837" width="11.85546875" style="27" customWidth="1"/>
    <col min="2838" max="3079" width="9.140625" style="27"/>
    <col min="3080" max="3080" width="14.85546875" style="27" customWidth="1"/>
    <col min="3081" max="3081" width="11.85546875" style="27" customWidth="1"/>
    <col min="3082" max="3082" width="3.5703125" style="27" customWidth="1"/>
    <col min="3083" max="3083" width="10.5703125" style="27" customWidth="1"/>
    <col min="3084" max="3084" width="17.7109375" style="27" customWidth="1"/>
    <col min="3085" max="3085" width="17" style="27" customWidth="1"/>
    <col min="3086" max="3086" width="17.85546875" style="27" customWidth="1"/>
    <col min="3087" max="3087" width="19.140625" style="27" customWidth="1"/>
    <col min="3088" max="3088" width="4.42578125" style="27" customWidth="1"/>
    <col min="3089" max="3089" width="17.5703125" style="27" customWidth="1"/>
    <col min="3090" max="3090" width="23" style="27" customWidth="1"/>
    <col min="3091" max="3091" width="10.42578125" style="27" customWidth="1"/>
    <col min="3092" max="3092" width="20.5703125" style="27" customWidth="1"/>
    <col min="3093" max="3093" width="11.85546875" style="27" customWidth="1"/>
    <col min="3094" max="3335" width="9.140625" style="27"/>
    <col min="3336" max="3336" width="14.85546875" style="27" customWidth="1"/>
    <col min="3337" max="3337" width="11.85546875" style="27" customWidth="1"/>
    <col min="3338" max="3338" width="3.5703125" style="27" customWidth="1"/>
    <col min="3339" max="3339" width="10.5703125" style="27" customWidth="1"/>
    <col min="3340" max="3340" width="17.7109375" style="27" customWidth="1"/>
    <col min="3341" max="3341" width="17" style="27" customWidth="1"/>
    <col min="3342" max="3342" width="17.85546875" style="27" customWidth="1"/>
    <col min="3343" max="3343" width="19.140625" style="27" customWidth="1"/>
    <col min="3344" max="3344" width="4.42578125" style="27" customWidth="1"/>
    <col min="3345" max="3345" width="17.5703125" style="27" customWidth="1"/>
    <col min="3346" max="3346" width="23" style="27" customWidth="1"/>
    <col min="3347" max="3347" width="10.42578125" style="27" customWidth="1"/>
    <col min="3348" max="3348" width="20.5703125" style="27" customWidth="1"/>
    <col min="3349" max="3349" width="11.85546875" style="27" customWidth="1"/>
    <col min="3350" max="3591" width="9.140625" style="27"/>
    <col min="3592" max="3592" width="14.85546875" style="27" customWidth="1"/>
    <col min="3593" max="3593" width="11.85546875" style="27" customWidth="1"/>
    <col min="3594" max="3594" width="3.5703125" style="27" customWidth="1"/>
    <col min="3595" max="3595" width="10.5703125" style="27" customWidth="1"/>
    <col min="3596" max="3596" width="17.7109375" style="27" customWidth="1"/>
    <col min="3597" max="3597" width="17" style="27" customWidth="1"/>
    <col min="3598" max="3598" width="17.85546875" style="27" customWidth="1"/>
    <col min="3599" max="3599" width="19.140625" style="27" customWidth="1"/>
    <col min="3600" max="3600" width="4.42578125" style="27" customWidth="1"/>
    <col min="3601" max="3601" width="17.5703125" style="27" customWidth="1"/>
    <col min="3602" max="3602" width="23" style="27" customWidth="1"/>
    <col min="3603" max="3603" width="10.42578125" style="27" customWidth="1"/>
    <col min="3604" max="3604" width="20.5703125" style="27" customWidth="1"/>
    <col min="3605" max="3605" width="11.85546875" style="27" customWidth="1"/>
    <col min="3606" max="3847" width="9.140625" style="27"/>
    <col min="3848" max="3848" width="14.85546875" style="27" customWidth="1"/>
    <col min="3849" max="3849" width="11.85546875" style="27" customWidth="1"/>
    <col min="3850" max="3850" width="3.5703125" style="27" customWidth="1"/>
    <col min="3851" max="3851" width="10.5703125" style="27" customWidth="1"/>
    <col min="3852" max="3852" width="17.7109375" style="27" customWidth="1"/>
    <col min="3853" max="3853" width="17" style="27" customWidth="1"/>
    <col min="3854" max="3854" width="17.85546875" style="27" customWidth="1"/>
    <col min="3855" max="3855" width="19.140625" style="27" customWidth="1"/>
    <col min="3856" max="3856" width="4.42578125" style="27" customWidth="1"/>
    <col min="3857" max="3857" width="17.5703125" style="27" customWidth="1"/>
    <col min="3858" max="3858" width="23" style="27" customWidth="1"/>
    <col min="3859" max="3859" width="10.42578125" style="27" customWidth="1"/>
    <col min="3860" max="3860" width="20.5703125" style="27" customWidth="1"/>
    <col min="3861" max="3861" width="11.85546875" style="27" customWidth="1"/>
    <col min="3862" max="4103" width="9.140625" style="27"/>
    <col min="4104" max="4104" width="14.85546875" style="27" customWidth="1"/>
    <col min="4105" max="4105" width="11.85546875" style="27" customWidth="1"/>
    <col min="4106" max="4106" width="3.5703125" style="27" customWidth="1"/>
    <col min="4107" max="4107" width="10.5703125" style="27" customWidth="1"/>
    <col min="4108" max="4108" width="17.7109375" style="27" customWidth="1"/>
    <col min="4109" max="4109" width="17" style="27" customWidth="1"/>
    <col min="4110" max="4110" width="17.85546875" style="27" customWidth="1"/>
    <col min="4111" max="4111" width="19.140625" style="27" customWidth="1"/>
    <col min="4112" max="4112" width="4.42578125" style="27" customWidth="1"/>
    <col min="4113" max="4113" width="17.5703125" style="27" customWidth="1"/>
    <col min="4114" max="4114" width="23" style="27" customWidth="1"/>
    <col min="4115" max="4115" width="10.42578125" style="27" customWidth="1"/>
    <col min="4116" max="4116" width="20.5703125" style="27" customWidth="1"/>
    <col min="4117" max="4117" width="11.85546875" style="27" customWidth="1"/>
    <col min="4118" max="4359" width="9.140625" style="27"/>
    <col min="4360" max="4360" width="14.85546875" style="27" customWidth="1"/>
    <col min="4361" max="4361" width="11.85546875" style="27" customWidth="1"/>
    <col min="4362" max="4362" width="3.5703125" style="27" customWidth="1"/>
    <col min="4363" max="4363" width="10.5703125" style="27" customWidth="1"/>
    <col min="4364" max="4364" width="17.7109375" style="27" customWidth="1"/>
    <col min="4365" max="4365" width="17" style="27" customWidth="1"/>
    <col min="4366" max="4366" width="17.85546875" style="27" customWidth="1"/>
    <col min="4367" max="4367" width="19.140625" style="27" customWidth="1"/>
    <col min="4368" max="4368" width="4.42578125" style="27" customWidth="1"/>
    <col min="4369" max="4369" width="17.5703125" style="27" customWidth="1"/>
    <col min="4370" max="4370" width="23" style="27" customWidth="1"/>
    <col min="4371" max="4371" width="10.42578125" style="27" customWidth="1"/>
    <col min="4372" max="4372" width="20.5703125" style="27" customWidth="1"/>
    <col min="4373" max="4373" width="11.85546875" style="27" customWidth="1"/>
    <col min="4374" max="4615" width="9.140625" style="27"/>
    <col min="4616" max="4616" width="14.85546875" style="27" customWidth="1"/>
    <col min="4617" max="4617" width="11.85546875" style="27" customWidth="1"/>
    <col min="4618" max="4618" width="3.5703125" style="27" customWidth="1"/>
    <col min="4619" max="4619" width="10.5703125" style="27" customWidth="1"/>
    <col min="4620" max="4620" width="17.7109375" style="27" customWidth="1"/>
    <col min="4621" max="4621" width="17" style="27" customWidth="1"/>
    <col min="4622" max="4622" width="17.85546875" style="27" customWidth="1"/>
    <col min="4623" max="4623" width="19.140625" style="27" customWidth="1"/>
    <col min="4624" max="4624" width="4.42578125" style="27" customWidth="1"/>
    <col min="4625" max="4625" width="17.5703125" style="27" customWidth="1"/>
    <col min="4626" max="4626" width="23" style="27" customWidth="1"/>
    <col min="4627" max="4627" width="10.42578125" style="27" customWidth="1"/>
    <col min="4628" max="4628" width="20.5703125" style="27" customWidth="1"/>
    <col min="4629" max="4629" width="11.85546875" style="27" customWidth="1"/>
    <col min="4630" max="4871" width="9.140625" style="27"/>
    <col min="4872" max="4872" width="14.85546875" style="27" customWidth="1"/>
    <col min="4873" max="4873" width="11.85546875" style="27" customWidth="1"/>
    <col min="4874" max="4874" width="3.5703125" style="27" customWidth="1"/>
    <col min="4875" max="4875" width="10.5703125" style="27" customWidth="1"/>
    <col min="4876" max="4876" width="17.7109375" style="27" customWidth="1"/>
    <col min="4877" max="4877" width="17" style="27" customWidth="1"/>
    <col min="4878" max="4878" width="17.85546875" style="27" customWidth="1"/>
    <col min="4879" max="4879" width="19.140625" style="27" customWidth="1"/>
    <col min="4880" max="4880" width="4.42578125" style="27" customWidth="1"/>
    <col min="4881" max="4881" width="17.5703125" style="27" customWidth="1"/>
    <col min="4882" max="4882" width="23" style="27" customWidth="1"/>
    <col min="4883" max="4883" width="10.42578125" style="27" customWidth="1"/>
    <col min="4884" max="4884" width="20.5703125" style="27" customWidth="1"/>
    <col min="4885" max="4885" width="11.85546875" style="27" customWidth="1"/>
    <col min="4886" max="5127" width="9.140625" style="27"/>
    <col min="5128" max="5128" width="14.85546875" style="27" customWidth="1"/>
    <col min="5129" max="5129" width="11.85546875" style="27" customWidth="1"/>
    <col min="5130" max="5130" width="3.5703125" style="27" customWidth="1"/>
    <col min="5131" max="5131" width="10.5703125" style="27" customWidth="1"/>
    <col min="5132" max="5132" width="17.7109375" style="27" customWidth="1"/>
    <col min="5133" max="5133" width="17" style="27" customWidth="1"/>
    <col min="5134" max="5134" width="17.85546875" style="27" customWidth="1"/>
    <col min="5135" max="5135" width="19.140625" style="27" customWidth="1"/>
    <col min="5136" max="5136" width="4.42578125" style="27" customWidth="1"/>
    <col min="5137" max="5137" width="17.5703125" style="27" customWidth="1"/>
    <col min="5138" max="5138" width="23" style="27" customWidth="1"/>
    <col min="5139" max="5139" width="10.42578125" style="27" customWidth="1"/>
    <col min="5140" max="5140" width="20.5703125" style="27" customWidth="1"/>
    <col min="5141" max="5141" width="11.85546875" style="27" customWidth="1"/>
    <col min="5142" max="5383" width="9.140625" style="27"/>
    <col min="5384" max="5384" width="14.85546875" style="27" customWidth="1"/>
    <col min="5385" max="5385" width="11.85546875" style="27" customWidth="1"/>
    <col min="5386" max="5386" width="3.5703125" style="27" customWidth="1"/>
    <col min="5387" max="5387" width="10.5703125" style="27" customWidth="1"/>
    <col min="5388" max="5388" width="17.7109375" style="27" customWidth="1"/>
    <col min="5389" max="5389" width="17" style="27" customWidth="1"/>
    <col min="5390" max="5390" width="17.85546875" style="27" customWidth="1"/>
    <col min="5391" max="5391" width="19.140625" style="27" customWidth="1"/>
    <col min="5392" max="5392" width="4.42578125" style="27" customWidth="1"/>
    <col min="5393" max="5393" width="17.5703125" style="27" customWidth="1"/>
    <col min="5394" max="5394" width="23" style="27" customWidth="1"/>
    <col min="5395" max="5395" width="10.42578125" style="27" customWidth="1"/>
    <col min="5396" max="5396" width="20.5703125" style="27" customWidth="1"/>
    <col min="5397" max="5397" width="11.85546875" style="27" customWidth="1"/>
    <col min="5398" max="5639" width="9.140625" style="27"/>
    <col min="5640" max="5640" width="14.85546875" style="27" customWidth="1"/>
    <col min="5641" max="5641" width="11.85546875" style="27" customWidth="1"/>
    <col min="5642" max="5642" width="3.5703125" style="27" customWidth="1"/>
    <col min="5643" max="5643" width="10.5703125" style="27" customWidth="1"/>
    <col min="5644" max="5644" width="17.7109375" style="27" customWidth="1"/>
    <col min="5645" max="5645" width="17" style="27" customWidth="1"/>
    <col min="5646" max="5646" width="17.85546875" style="27" customWidth="1"/>
    <col min="5647" max="5647" width="19.140625" style="27" customWidth="1"/>
    <col min="5648" max="5648" width="4.42578125" style="27" customWidth="1"/>
    <col min="5649" max="5649" width="17.5703125" style="27" customWidth="1"/>
    <col min="5650" max="5650" width="23" style="27" customWidth="1"/>
    <col min="5651" max="5651" width="10.42578125" style="27" customWidth="1"/>
    <col min="5652" max="5652" width="20.5703125" style="27" customWidth="1"/>
    <col min="5653" max="5653" width="11.85546875" style="27" customWidth="1"/>
    <col min="5654" max="5895" width="9.140625" style="27"/>
    <col min="5896" max="5896" width="14.85546875" style="27" customWidth="1"/>
    <col min="5897" max="5897" width="11.85546875" style="27" customWidth="1"/>
    <col min="5898" max="5898" width="3.5703125" style="27" customWidth="1"/>
    <col min="5899" max="5899" width="10.5703125" style="27" customWidth="1"/>
    <col min="5900" max="5900" width="17.7109375" style="27" customWidth="1"/>
    <col min="5901" max="5901" width="17" style="27" customWidth="1"/>
    <col min="5902" max="5902" width="17.85546875" style="27" customWidth="1"/>
    <col min="5903" max="5903" width="19.140625" style="27" customWidth="1"/>
    <col min="5904" max="5904" width="4.42578125" style="27" customWidth="1"/>
    <col min="5905" max="5905" width="17.5703125" style="27" customWidth="1"/>
    <col min="5906" max="5906" width="23" style="27" customWidth="1"/>
    <col min="5907" max="5907" width="10.42578125" style="27" customWidth="1"/>
    <col min="5908" max="5908" width="20.5703125" style="27" customWidth="1"/>
    <col min="5909" max="5909" width="11.85546875" style="27" customWidth="1"/>
    <col min="5910" max="6151" width="9.140625" style="27"/>
    <col min="6152" max="6152" width="14.85546875" style="27" customWidth="1"/>
    <col min="6153" max="6153" width="11.85546875" style="27" customWidth="1"/>
    <col min="6154" max="6154" width="3.5703125" style="27" customWidth="1"/>
    <col min="6155" max="6155" width="10.5703125" style="27" customWidth="1"/>
    <col min="6156" max="6156" width="17.7109375" style="27" customWidth="1"/>
    <col min="6157" max="6157" width="17" style="27" customWidth="1"/>
    <col min="6158" max="6158" width="17.85546875" style="27" customWidth="1"/>
    <col min="6159" max="6159" width="19.140625" style="27" customWidth="1"/>
    <col min="6160" max="6160" width="4.42578125" style="27" customWidth="1"/>
    <col min="6161" max="6161" width="17.5703125" style="27" customWidth="1"/>
    <col min="6162" max="6162" width="23" style="27" customWidth="1"/>
    <col min="6163" max="6163" width="10.42578125" style="27" customWidth="1"/>
    <col min="6164" max="6164" width="20.5703125" style="27" customWidth="1"/>
    <col min="6165" max="6165" width="11.85546875" style="27" customWidth="1"/>
    <col min="6166" max="6407" width="9.140625" style="27"/>
    <col min="6408" max="6408" width="14.85546875" style="27" customWidth="1"/>
    <col min="6409" max="6409" width="11.85546875" style="27" customWidth="1"/>
    <col min="6410" max="6410" width="3.5703125" style="27" customWidth="1"/>
    <col min="6411" max="6411" width="10.5703125" style="27" customWidth="1"/>
    <col min="6412" max="6412" width="17.7109375" style="27" customWidth="1"/>
    <col min="6413" max="6413" width="17" style="27" customWidth="1"/>
    <col min="6414" max="6414" width="17.85546875" style="27" customWidth="1"/>
    <col min="6415" max="6415" width="19.140625" style="27" customWidth="1"/>
    <col min="6416" max="6416" width="4.42578125" style="27" customWidth="1"/>
    <col min="6417" max="6417" width="17.5703125" style="27" customWidth="1"/>
    <col min="6418" max="6418" width="23" style="27" customWidth="1"/>
    <col min="6419" max="6419" width="10.42578125" style="27" customWidth="1"/>
    <col min="6420" max="6420" width="20.5703125" style="27" customWidth="1"/>
    <col min="6421" max="6421" width="11.85546875" style="27" customWidth="1"/>
    <col min="6422" max="6663" width="9.140625" style="27"/>
    <col min="6664" max="6664" width="14.85546875" style="27" customWidth="1"/>
    <col min="6665" max="6665" width="11.85546875" style="27" customWidth="1"/>
    <col min="6666" max="6666" width="3.5703125" style="27" customWidth="1"/>
    <col min="6667" max="6667" width="10.5703125" style="27" customWidth="1"/>
    <col min="6668" max="6668" width="17.7109375" style="27" customWidth="1"/>
    <col min="6669" max="6669" width="17" style="27" customWidth="1"/>
    <col min="6670" max="6670" width="17.85546875" style="27" customWidth="1"/>
    <col min="6671" max="6671" width="19.140625" style="27" customWidth="1"/>
    <col min="6672" max="6672" width="4.42578125" style="27" customWidth="1"/>
    <col min="6673" max="6673" width="17.5703125" style="27" customWidth="1"/>
    <col min="6674" max="6674" width="23" style="27" customWidth="1"/>
    <col min="6675" max="6675" width="10.42578125" style="27" customWidth="1"/>
    <col min="6676" max="6676" width="20.5703125" style="27" customWidth="1"/>
    <col min="6677" max="6677" width="11.85546875" style="27" customWidth="1"/>
    <col min="6678" max="6919" width="9.140625" style="27"/>
    <col min="6920" max="6920" width="14.85546875" style="27" customWidth="1"/>
    <col min="6921" max="6921" width="11.85546875" style="27" customWidth="1"/>
    <col min="6922" max="6922" width="3.5703125" style="27" customWidth="1"/>
    <col min="6923" max="6923" width="10.5703125" style="27" customWidth="1"/>
    <col min="6924" max="6924" width="17.7109375" style="27" customWidth="1"/>
    <col min="6925" max="6925" width="17" style="27" customWidth="1"/>
    <col min="6926" max="6926" width="17.85546875" style="27" customWidth="1"/>
    <col min="6927" max="6927" width="19.140625" style="27" customWidth="1"/>
    <col min="6928" max="6928" width="4.42578125" style="27" customWidth="1"/>
    <col min="6929" max="6929" width="17.5703125" style="27" customWidth="1"/>
    <col min="6930" max="6930" width="23" style="27" customWidth="1"/>
    <col min="6931" max="6931" width="10.42578125" style="27" customWidth="1"/>
    <col min="6932" max="6932" width="20.5703125" style="27" customWidth="1"/>
    <col min="6933" max="6933" width="11.85546875" style="27" customWidth="1"/>
    <col min="6934" max="7175" width="9.140625" style="27"/>
    <col min="7176" max="7176" width="14.85546875" style="27" customWidth="1"/>
    <col min="7177" max="7177" width="11.85546875" style="27" customWidth="1"/>
    <col min="7178" max="7178" width="3.5703125" style="27" customWidth="1"/>
    <col min="7179" max="7179" width="10.5703125" style="27" customWidth="1"/>
    <col min="7180" max="7180" width="17.7109375" style="27" customWidth="1"/>
    <col min="7181" max="7181" width="17" style="27" customWidth="1"/>
    <col min="7182" max="7182" width="17.85546875" style="27" customWidth="1"/>
    <col min="7183" max="7183" width="19.140625" style="27" customWidth="1"/>
    <col min="7184" max="7184" width="4.42578125" style="27" customWidth="1"/>
    <col min="7185" max="7185" width="17.5703125" style="27" customWidth="1"/>
    <col min="7186" max="7186" width="23" style="27" customWidth="1"/>
    <col min="7187" max="7187" width="10.42578125" style="27" customWidth="1"/>
    <col min="7188" max="7188" width="20.5703125" style="27" customWidth="1"/>
    <col min="7189" max="7189" width="11.85546875" style="27" customWidth="1"/>
    <col min="7190" max="7431" width="9.140625" style="27"/>
    <col min="7432" max="7432" width="14.85546875" style="27" customWidth="1"/>
    <col min="7433" max="7433" width="11.85546875" style="27" customWidth="1"/>
    <col min="7434" max="7434" width="3.5703125" style="27" customWidth="1"/>
    <col min="7435" max="7435" width="10.5703125" style="27" customWidth="1"/>
    <col min="7436" max="7436" width="17.7109375" style="27" customWidth="1"/>
    <col min="7437" max="7437" width="17" style="27" customWidth="1"/>
    <col min="7438" max="7438" width="17.85546875" style="27" customWidth="1"/>
    <col min="7439" max="7439" width="19.140625" style="27" customWidth="1"/>
    <col min="7440" max="7440" width="4.42578125" style="27" customWidth="1"/>
    <col min="7441" max="7441" width="17.5703125" style="27" customWidth="1"/>
    <col min="7442" max="7442" width="23" style="27" customWidth="1"/>
    <col min="7443" max="7443" width="10.42578125" style="27" customWidth="1"/>
    <col min="7444" max="7444" width="20.5703125" style="27" customWidth="1"/>
    <col min="7445" max="7445" width="11.85546875" style="27" customWidth="1"/>
    <col min="7446" max="7687" width="9.140625" style="27"/>
    <col min="7688" max="7688" width="14.85546875" style="27" customWidth="1"/>
    <col min="7689" max="7689" width="11.85546875" style="27" customWidth="1"/>
    <col min="7690" max="7690" width="3.5703125" style="27" customWidth="1"/>
    <col min="7691" max="7691" width="10.5703125" style="27" customWidth="1"/>
    <col min="7692" max="7692" width="17.7109375" style="27" customWidth="1"/>
    <col min="7693" max="7693" width="17" style="27" customWidth="1"/>
    <col min="7694" max="7694" width="17.85546875" style="27" customWidth="1"/>
    <col min="7695" max="7695" width="19.140625" style="27" customWidth="1"/>
    <col min="7696" max="7696" width="4.42578125" style="27" customWidth="1"/>
    <col min="7697" max="7697" width="17.5703125" style="27" customWidth="1"/>
    <col min="7698" max="7698" width="23" style="27" customWidth="1"/>
    <col min="7699" max="7699" width="10.42578125" style="27" customWidth="1"/>
    <col min="7700" max="7700" width="20.5703125" style="27" customWidth="1"/>
    <col min="7701" max="7701" width="11.85546875" style="27" customWidth="1"/>
    <col min="7702" max="7943" width="9.140625" style="27"/>
    <col min="7944" max="7944" width="14.85546875" style="27" customWidth="1"/>
    <col min="7945" max="7945" width="11.85546875" style="27" customWidth="1"/>
    <col min="7946" max="7946" width="3.5703125" style="27" customWidth="1"/>
    <col min="7947" max="7947" width="10.5703125" style="27" customWidth="1"/>
    <col min="7948" max="7948" width="17.7109375" style="27" customWidth="1"/>
    <col min="7949" max="7949" width="17" style="27" customWidth="1"/>
    <col min="7950" max="7950" width="17.85546875" style="27" customWidth="1"/>
    <col min="7951" max="7951" width="19.140625" style="27" customWidth="1"/>
    <col min="7952" max="7952" width="4.42578125" style="27" customWidth="1"/>
    <col min="7953" max="7953" width="17.5703125" style="27" customWidth="1"/>
    <col min="7954" max="7954" width="23" style="27" customWidth="1"/>
    <col min="7955" max="7955" width="10.42578125" style="27" customWidth="1"/>
    <col min="7956" max="7956" width="20.5703125" style="27" customWidth="1"/>
    <col min="7957" max="7957" width="11.85546875" style="27" customWidth="1"/>
    <col min="7958" max="8199" width="9.140625" style="27"/>
    <col min="8200" max="8200" width="14.85546875" style="27" customWidth="1"/>
    <col min="8201" max="8201" width="11.85546875" style="27" customWidth="1"/>
    <col min="8202" max="8202" width="3.5703125" style="27" customWidth="1"/>
    <col min="8203" max="8203" width="10.5703125" style="27" customWidth="1"/>
    <col min="8204" max="8204" width="17.7109375" style="27" customWidth="1"/>
    <col min="8205" max="8205" width="17" style="27" customWidth="1"/>
    <col min="8206" max="8206" width="17.85546875" style="27" customWidth="1"/>
    <col min="8207" max="8207" width="19.140625" style="27" customWidth="1"/>
    <col min="8208" max="8208" width="4.42578125" style="27" customWidth="1"/>
    <col min="8209" max="8209" width="17.5703125" style="27" customWidth="1"/>
    <col min="8210" max="8210" width="23" style="27" customWidth="1"/>
    <col min="8211" max="8211" width="10.42578125" style="27" customWidth="1"/>
    <col min="8212" max="8212" width="20.5703125" style="27" customWidth="1"/>
    <col min="8213" max="8213" width="11.85546875" style="27" customWidth="1"/>
    <col min="8214" max="8455" width="9.140625" style="27"/>
    <col min="8456" max="8456" width="14.85546875" style="27" customWidth="1"/>
    <col min="8457" max="8457" width="11.85546875" style="27" customWidth="1"/>
    <col min="8458" max="8458" width="3.5703125" style="27" customWidth="1"/>
    <col min="8459" max="8459" width="10.5703125" style="27" customWidth="1"/>
    <col min="8460" max="8460" width="17.7109375" style="27" customWidth="1"/>
    <col min="8461" max="8461" width="17" style="27" customWidth="1"/>
    <col min="8462" max="8462" width="17.85546875" style="27" customWidth="1"/>
    <col min="8463" max="8463" width="19.140625" style="27" customWidth="1"/>
    <col min="8464" max="8464" width="4.42578125" style="27" customWidth="1"/>
    <col min="8465" max="8465" width="17.5703125" style="27" customWidth="1"/>
    <col min="8466" max="8466" width="23" style="27" customWidth="1"/>
    <col min="8467" max="8467" width="10.42578125" style="27" customWidth="1"/>
    <col min="8468" max="8468" width="20.5703125" style="27" customWidth="1"/>
    <col min="8469" max="8469" width="11.85546875" style="27" customWidth="1"/>
    <col min="8470" max="8711" width="9.140625" style="27"/>
    <col min="8712" max="8712" width="14.85546875" style="27" customWidth="1"/>
    <col min="8713" max="8713" width="11.85546875" style="27" customWidth="1"/>
    <col min="8714" max="8714" width="3.5703125" style="27" customWidth="1"/>
    <col min="8715" max="8715" width="10.5703125" style="27" customWidth="1"/>
    <col min="8716" max="8716" width="17.7109375" style="27" customWidth="1"/>
    <col min="8717" max="8717" width="17" style="27" customWidth="1"/>
    <col min="8718" max="8718" width="17.85546875" style="27" customWidth="1"/>
    <col min="8719" max="8719" width="19.140625" style="27" customWidth="1"/>
    <col min="8720" max="8720" width="4.42578125" style="27" customWidth="1"/>
    <col min="8721" max="8721" width="17.5703125" style="27" customWidth="1"/>
    <col min="8722" max="8722" width="23" style="27" customWidth="1"/>
    <col min="8723" max="8723" width="10.42578125" style="27" customWidth="1"/>
    <col min="8724" max="8724" width="20.5703125" style="27" customWidth="1"/>
    <col min="8725" max="8725" width="11.85546875" style="27" customWidth="1"/>
    <col min="8726" max="8967" width="9.140625" style="27"/>
    <col min="8968" max="8968" width="14.85546875" style="27" customWidth="1"/>
    <col min="8969" max="8969" width="11.85546875" style="27" customWidth="1"/>
    <col min="8970" max="8970" width="3.5703125" style="27" customWidth="1"/>
    <col min="8971" max="8971" width="10.5703125" style="27" customWidth="1"/>
    <col min="8972" max="8972" width="17.7109375" style="27" customWidth="1"/>
    <col min="8973" max="8973" width="17" style="27" customWidth="1"/>
    <col min="8974" max="8974" width="17.85546875" style="27" customWidth="1"/>
    <col min="8975" max="8975" width="19.140625" style="27" customWidth="1"/>
    <col min="8976" max="8976" width="4.42578125" style="27" customWidth="1"/>
    <col min="8977" max="8977" width="17.5703125" style="27" customWidth="1"/>
    <col min="8978" max="8978" width="23" style="27" customWidth="1"/>
    <col min="8979" max="8979" width="10.42578125" style="27" customWidth="1"/>
    <col min="8980" max="8980" width="20.5703125" style="27" customWidth="1"/>
    <col min="8981" max="8981" width="11.85546875" style="27" customWidth="1"/>
    <col min="8982" max="9223" width="9.140625" style="27"/>
    <col min="9224" max="9224" width="14.85546875" style="27" customWidth="1"/>
    <col min="9225" max="9225" width="11.85546875" style="27" customWidth="1"/>
    <col min="9226" max="9226" width="3.5703125" style="27" customWidth="1"/>
    <col min="9227" max="9227" width="10.5703125" style="27" customWidth="1"/>
    <col min="9228" max="9228" width="17.7109375" style="27" customWidth="1"/>
    <col min="9229" max="9229" width="17" style="27" customWidth="1"/>
    <col min="9230" max="9230" width="17.85546875" style="27" customWidth="1"/>
    <col min="9231" max="9231" width="19.140625" style="27" customWidth="1"/>
    <col min="9232" max="9232" width="4.42578125" style="27" customWidth="1"/>
    <col min="9233" max="9233" width="17.5703125" style="27" customWidth="1"/>
    <col min="9234" max="9234" width="23" style="27" customWidth="1"/>
    <col min="9235" max="9235" width="10.42578125" style="27" customWidth="1"/>
    <col min="9236" max="9236" width="20.5703125" style="27" customWidth="1"/>
    <col min="9237" max="9237" width="11.85546875" style="27" customWidth="1"/>
    <col min="9238" max="9479" width="9.140625" style="27"/>
    <col min="9480" max="9480" width="14.85546875" style="27" customWidth="1"/>
    <col min="9481" max="9481" width="11.85546875" style="27" customWidth="1"/>
    <col min="9482" max="9482" width="3.5703125" style="27" customWidth="1"/>
    <col min="9483" max="9483" width="10.5703125" style="27" customWidth="1"/>
    <col min="9484" max="9484" width="17.7109375" style="27" customWidth="1"/>
    <col min="9485" max="9485" width="17" style="27" customWidth="1"/>
    <col min="9486" max="9486" width="17.85546875" style="27" customWidth="1"/>
    <col min="9487" max="9487" width="19.140625" style="27" customWidth="1"/>
    <col min="9488" max="9488" width="4.42578125" style="27" customWidth="1"/>
    <col min="9489" max="9489" width="17.5703125" style="27" customWidth="1"/>
    <col min="9490" max="9490" width="23" style="27" customWidth="1"/>
    <col min="9491" max="9491" width="10.42578125" style="27" customWidth="1"/>
    <col min="9492" max="9492" width="20.5703125" style="27" customWidth="1"/>
    <col min="9493" max="9493" width="11.85546875" style="27" customWidth="1"/>
    <col min="9494" max="9735" width="9.140625" style="27"/>
    <col min="9736" max="9736" width="14.85546875" style="27" customWidth="1"/>
    <col min="9737" max="9737" width="11.85546875" style="27" customWidth="1"/>
    <col min="9738" max="9738" width="3.5703125" style="27" customWidth="1"/>
    <col min="9739" max="9739" width="10.5703125" style="27" customWidth="1"/>
    <col min="9740" max="9740" width="17.7109375" style="27" customWidth="1"/>
    <col min="9741" max="9741" width="17" style="27" customWidth="1"/>
    <col min="9742" max="9742" width="17.85546875" style="27" customWidth="1"/>
    <col min="9743" max="9743" width="19.140625" style="27" customWidth="1"/>
    <col min="9744" max="9744" width="4.42578125" style="27" customWidth="1"/>
    <col min="9745" max="9745" width="17.5703125" style="27" customWidth="1"/>
    <col min="9746" max="9746" width="23" style="27" customWidth="1"/>
    <col min="9747" max="9747" width="10.42578125" style="27" customWidth="1"/>
    <col min="9748" max="9748" width="20.5703125" style="27" customWidth="1"/>
    <col min="9749" max="9749" width="11.85546875" style="27" customWidth="1"/>
    <col min="9750" max="9991" width="9.140625" style="27"/>
    <col min="9992" max="9992" width="14.85546875" style="27" customWidth="1"/>
    <col min="9993" max="9993" width="11.85546875" style="27" customWidth="1"/>
    <col min="9994" max="9994" width="3.5703125" style="27" customWidth="1"/>
    <col min="9995" max="9995" width="10.5703125" style="27" customWidth="1"/>
    <col min="9996" max="9996" width="17.7109375" style="27" customWidth="1"/>
    <col min="9997" max="9997" width="17" style="27" customWidth="1"/>
    <col min="9998" max="9998" width="17.85546875" style="27" customWidth="1"/>
    <col min="9999" max="9999" width="19.140625" style="27" customWidth="1"/>
    <col min="10000" max="10000" width="4.42578125" style="27" customWidth="1"/>
    <col min="10001" max="10001" width="17.5703125" style="27" customWidth="1"/>
    <col min="10002" max="10002" width="23" style="27" customWidth="1"/>
    <col min="10003" max="10003" width="10.42578125" style="27" customWidth="1"/>
    <col min="10004" max="10004" width="20.5703125" style="27" customWidth="1"/>
    <col min="10005" max="10005" width="11.85546875" style="27" customWidth="1"/>
    <col min="10006" max="10247" width="9.140625" style="27"/>
    <col min="10248" max="10248" width="14.85546875" style="27" customWidth="1"/>
    <col min="10249" max="10249" width="11.85546875" style="27" customWidth="1"/>
    <col min="10250" max="10250" width="3.5703125" style="27" customWidth="1"/>
    <col min="10251" max="10251" width="10.5703125" style="27" customWidth="1"/>
    <col min="10252" max="10252" width="17.7109375" style="27" customWidth="1"/>
    <col min="10253" max="10253" width="17" style="27" customWidth="1"/>
    <col min="10254" max="10254" width="17.85546875" style="27" customWidth="1"/>
    <col min="10255" max="10255" width="19.140625" style="27" customWidth="1"/>
    <col min="10256" max="10256" width="4.42578125" style="27" customWidth="1"/>
    <col min="10257" max="10257" width="17.5703125" style="27" customWidth="1"/>
    <col min="10258" max="10258" width="23" style="27" customWidth="1"/>
    <col min="10259" max="10259" width="10.42578125" style="27" customWidth="1"/>
    <col min="10260" max="10260" width="20.5703125" style="27" customWidth="1"/>
    <col min="10261" max="10261" width="11.85546875" style="27" customWidth="1"/>
    <col min="10262" max="10503" width="9.140625" style="27"/>
    <col min="10504" max="10504" width="14.85546875" style="27" customWidth="1"/>
    <col min="10505" max="10505" width="11.85546875" style="27" customWidth="1"/>
    <col min="10506" max="10506" width="3.5703125" style="27" customWidth="1"/>
    <col min="10507" max="10507" width="10.5703125" style="27" customWidth="1"/>
    <col min="10508" max="10508" width="17.7109375" style="27" customWidth="1"/>
    <col min="10509" max="10509" width="17" style="27" customWidth="1"/>
    <col min="10510" max="10510" width="17.85546875" style="27" customWidth="1"/>
    <col min="10511" max="10511" width="19.140625" style="27" customWidth="1"/>
    <col min="10512" max="10512" width="4.42578125" style="27" customWidth="1"/>
    <col min="10513" max="10513" width="17.5703125" style="27" customWidth="1"/>
    <col min="10514" max="10514" width="23" style="27" customWidth="1"/>
    <col min="10515" max="10515" width="10.42578125" style="27" customWidth="1"/>
    <col min="10516" max="10516" width="20.5703125" style="27" customWidth="1"/>
    <col min="10517" max="10517" width="11.85546875" style="27" customWidth="1"/>
    <col min="10518" max="10759" width="9.140625" style="27"/>
    <col min="10760" max="10760" width="14.85546875" style="27" customWidth="1"/>
    <col min="10761" max="10761" width="11.85546875" style="27" customWidth="1"/>
    <col min="10762" max="10762" width="3.5703125" style="27" customWidth="1"/>
    <col min="10763" max="10763" width="10.5703125" style="27" customWidth="1"/>
    <col min="10764" max="10764" width="17.7109375" style="27" customWidth="1"/>
    <col min="10765" max="10765" width="17" style="27" customWidth="1"/>
    <col min="10766" max="10766" width="17.85546875" style="27" customWidth="1"/>
    <col min="10767" max="10767" width="19.140625" style="27" customWidth="1"/>
    <col min="10768" max="10768" width="4.42578125" style="27" customWidth="1"/>
    <col min="10769" max="10769" width="17.5703125" style="27" customWidth="1"/>
    <col min="10770" max="10770" width="23" style="27" customWidth="1"/>
    <col min="10771" max="10771" width="10.42578125" style="27" customWidth="1"/>
    <col min="10772" max="10772" width="20.5703125" style="27" customWidth="1"/>
    <col min="10773" max="10773" width="11.85546875" style="27" customWidth="1"/>
    <col min="10774" max="11015" width="9.140625" style="27"/>
    <col min="11016" max="11016" width="14.85546875" style="27" customWidth="1"/>
    <col min="11017" max="11017" width="11.85546875" style="27" customWidth="1"/>
    <col min="11018" max="11018" width="3.5703125" style="27" customWidth="1"/>
    <col min="11019" max="11019" width="10.5703125" style="27" customWidth="1"/>
    <col min="11020" max="11020" width="17.7109375" style="27" customWidth="1"/>
    <col min="11021" max="11021" width="17" style="27" customWidth="1"/>
    <col min="11022" max="11022" width="17.85546875" style="27" customWidth="1"/>
    <col min="11023" max="11023" width="19.140625" style="27" customWidth="1"/>
    <col min="11024" max="11024" width="4.42578125" style="27" customWidth="1"/>
    <col min="11025" max="11025" width="17.5703125" style="27" customWidth="1"/>
    <col min="11026" max="11026" width="23" style="27" customWidth="1"/>
    <col min="11027" max="11027" width="10.42578125" style="27" customWidth="1"/>
    <col min="11028" max="11028" width="20.5703125" style="27" customWidth="1"/>
    <col min="11029" max="11029" width="11.85546875" style="27" customWidth="1"/>
    <col min="11030" max="11271" width="9.140625" style="27"/>
    <col min="11272" max="11272" width="14.85546875" style="27" customWidth="1"/>
    <col min="11273" max="11273" width="11.85546875" style="27" customWidth="1"/>
    <col min="11274" max="11274" width="3.5703125" style="27" customWidth="1"/>
    <col min="11275" max="11275" width="10.5703125" style="27" customWidth="1"/>
    <col min="11276" max="11276" width="17.7109375" style="27" customWidth="1"/>
    <col min="11277" max="11277" width="17" style="27" customWidth="1"/>
    <col min="11278" max="11278" width="17.85546875" style="27" customWidth="1"/>
    <col min="11279" max="11279" width="19.140625" style="27" customWidth="1"/>
    <col min="11280" max="11280" width="4.42578125" style="27" customWidth="1"/>
    <col min="11281" max="11281" width="17.5703125" style="27" customWidth="1"/>
    <col min="11282" max="11282" width="23" style="27" customWidth="1"/>
    <col min="11283" max="11283" width="10.42578125" style="27" customWidth="1"/>
    <col min="11284" max="11284" width="20.5703125" style="27" customWidth="1"/>
    <col min="11285" max="11285" width="11.85546875" style="27" customWidth="1"/>
    <col min="11286" max="11527" width="9.140625" style="27"/>
    <col min="11528" max="11528" width="14.85546875" style="27" customWidth="1"/>
    <col min="11529" max="11529" width="11.85546875" style="27" customWidth="1"/>
    <col min="11530" max="11530" width="3.5703125" style="27" customWidth="1"/>
    <col min="11531" max="11531" width="10.5703125" style="27" customWidth="1"/>
    <col min="11532" max="11532" width="17.7109375" style="27" customWidth="1"/>
    <col min="11533" max="11533" width="17" style="27" customWidth="1"/>
    <col min="11534" max="11534" width="17.85546875" style="27" customWidth="1"/>
    <col min="11535" max="11535" width="19.140625" style="27" customWidth="1"/>
    <col min="11536" max="11536" width="4.42578125" style="27" customWidth="1"/>
    <col min="11537" max="11537" width="17.5703125" style="27" customWidth="1"/>
    <col min="11538" max="11538" width="23" style="27" customWidth="1"/>
    <col min="11539" max="11539" width="10.42578125" style="27" customWidth="1"/>
    <col min="11540" max="11540" width="20.5703125" style="27" customWidth="1"/>
    <col min="11541" max="11541" width="11.85546875" style="27" customWidth="1"/>
    <col min="11542" max="11783" width="9.140625" style="27"/>
    <col min="11784" max="11784" width="14.85546875" style="27" customWidth="1"/>
    <col min="11785" max="11785" width="11.85546875" style="27" customWidth="1"/>
    <col min="11786" max="11786" width="3.5703125" style="27" customWidth="1"/>
    <col min="11787" max="11787" width="10.5703125" style="27" customWidth="1"/>
    <col min="11788" max="11788" width="17.7109375" style="27" customWidth="1"/>
    <col min="11789" max="11789" width="17" style="27" customWidth="1"/>
    <col min="11790" max="11790" width="17.85546875" style="27" customWidth="1"/>
    <col min="11791" max="11791" width="19.140625" style="27" customWidth="1"/>
    <col min="11792" max="11792" width="4.42578125" style="27" customWidth="1"/>
    <col min="11793" max="11793" width="17.5703125" style="27" customWidth="1"/>
    <col min="11794" max="11794" width="23" style="27" customWidth="1"/>
    <col min="11795" max="11795" width="10.42578125" style="27" customWidth="1"/>
    <col min="11796" max="11796" width="20.5703125" style="27" customWidth="1"/>
    <col min="11797" max="11797" width="11.85546875" style="27" customWidth="1"/>
    <col min="11798" max="12039" width="9.140625" style="27"/>
    <col min="12040" max="12040" width="14.85546875" style="27" customWidth="1"/>
    <col min="12041" max="12041" width="11.85546875" style="27" customWidth="1"/>
    <col min="12042" max="12042" width="3.5703125" style="27" customWidth="1"/>
    <col min="12043" max="12043" width="10.5703125" style="27" customWidth="1"/>
    <col min="12044" max="12044" width="17.7109375" style="27" customWidth="1"/>
    <col min="12045" max="12045" width="17" style="27" customWidth="1"/>
    <col min="12046" max="12046" width="17.85546875" style="27" customWidth="1"/>
    <col min="12047" max="12047" width="19.140625" style="27" customWidth="1"/>
    <col min="12048" max="12048" width="4.42578125" style="27" customWidth="1"/>
    <col min="12049" max="12049" width="17.5703125" style="27" customWidth="1"/>
    <col min="12050" max="12050" width="23" style="27" customWidth="1"/>
    <col min="12051" max="12051" width="10.42578125" style="27" customWidth="1"/>
    <col min="12052" max="12052" width="20.5703125" style="27" customWidth="1"/>
    <col min="12053" max="12053" width="11.85546875" style="27" customWidth="1"/>
    <col min="12054" max="12295" width="9.140625" style="27"/>
    <col min="12296" max="12296" width="14.85546875" style="27" customWidth="1"/>
    <col min="12297" max="12297" width="11.85546875" style="27" customWidth="1"/>
    <col min="12298" max="12298" width="3.5703125" style="27" customWidth="1"/>
    <col min="12299" max="12299" width="10.5703125" style="27" customWidth="1"/>
    <col min="12300" max="12300" width="17.7109375" style="27" customWidth="1"/>
    <col min="12301" max="12301" width="17" style="27" customWidth="1"/>
    <col min="12302" max="12302" width="17.85546875" style="27" customWidth="1"/>
    <col min="12303" max="12303" width="19.140625" style="27" customWidth="1"/>
    <col min="12304" max="12304" width="4.42578125" style="27" customWidth="1"/>
    <col min="12305" max="12305" width="17.5703125" style="27" customWidth="1"/>
    <col min="12306" max="12306" width="23" style="27" customWidth="1"/>
    <col min="12307" max="12307" width="10.42578125" style="27" customWidth="1"/>
    <col min="12308" max="12308" width="20.5703125" style="27" customWidth="1"/>
    <col min="12309" max="12309" width="11.85546875" style="27" customWidth="1"/>
    <col min="12310" max="12551" width="9.140625" style="27"/>
    <col min="12552" max="12552" width="14.85546875" style="27" customWidth="1"/>
    <col min="12553" max="12553" width="11.85546875" style="27" customWidth="1"/>
    <col min="12554" max="12554" width="3.5703125" style="27" customWidth="1"/>
    <col min="12555" max="12555" width="10.5703125" style="27" customWidth="1"/>
    <col min="12556" max="12556" width="17.7109375" style="27" customWidth="1"/>
    <col min="12557" max="12557" width="17" style="27" customWidth="1"/>
    <col min="12558" max="12558" width="17.85546875" style="27" customWidth="1"/>
    <col min="12559" max="12559" width="19.140625" style="27" customWidth="1"/>
    <col min="12560" max="12560" width="4.42578125" style="27" customWidth="1"/>
    <col min="12561" max="12561" width="17.5703125" style="27" customWidth="1"/>
    <col min="12562" max="12562" width="23" style="27" customWidth="1"/>
    <col min="12563" max="12563" width="10.42578125" style="27" customWidth="1"/>
    <col min="12564" max="12564" width="20.5703125" style="27" customWidth="1"/>
    <col min="12565" max="12565" width="11.85546875" style="27" customWidth="1"/>
    <col min="12566" max="12807" width="9.140625" style="27"/>
    <col min="12808" max="12808" width="14.85546875" style="27" customWidth="1"/>
    <col min="12809" max="12809" width="11.85546875" style="27" customWidth="1"/>
    <col min="12810" max="12810" width="3.5703125" style="27" customWidth="1"/>
    <col min="12811" max="12811" width="10.5703125" style="27" customWidth="1"/>
    <col min="12812" max="12812" width="17.7109375" style="27" customWidth="1"/>
    <col min="12813" max="12813" width="17" style="27" customWidth="1"/>
    <col min="12814" max="12814" width="17.85546875" style="27" customWidth="1"/>
    <col min="12815" max="12815" width="19.140625" style="27" customWidth="1"/>
    <col min="12816" max="12816" width="4.42578125" style="27" customWidth="1"/>
    <col min="12817" max="12817" width="17.5703125" style="27" customWidth="1"/>
    <col min="12818" max="12818" width="23" style="27" customWidth="1"/>
    <col min="12819" max="12819" width="10.42578125" style="27" customWidth="1"/>
    <col min="12820" max="12820" width="20.5703125" style="27" customWidth="1"/>
    <col min="12821" max="12821" width="11.85546875" style="27" customWidth="1"/>
    <col min="12822" max="13063" width="9.140625" style="27"/>
    <col min="13064" max="13064" width="14.85546875" style="27" customWidth="1"/>
    <col min="13065" max="13065" width="11.85546875" style="27" customWidth="1"/>
    <col min="13066" max="13066" width="3.5703125" style="27" customWidth="1"/>
    <col min="13067" max="13067" width="10.5703125" style="27" customWidth="1"/>
    <col min="13068" max="13068" width="17.7109375" style="27" customWidth="1"/>
    <col min="13069" max="13069" width="17" style="27" customWidth="1"/>
    <col min="13070" max="13070" width="17.85546875" style="27" customWidth="1"/>
    <col min="13071" max="13071" width="19.140625" style="27" customWidth="1"/>
    <col min="13072" max="13072" width="4.42578125" style="27" customWidth="1"/>
    <col min="13073" max="13073" width="17.5703125" style="27" customWidth="1"/>
    <col min="13074" max="13074" width="23" style="27" customWidth="1"/>
    <col min="13075" max="13075" width="10.42578125" style="27" customWidth="1"/>
    <col min="13076" max="13076" width="20.5703125" style="27" customWidth="1"/>
    <col min="13077" max="13077" width="11.85546875" style="27" customWidth="1"/>
    <col min="13078" max="13319" width="9.140625" style="27"/>
    <col min="13320" max="13320" width="14.85546875" style="27" customWidth="1"/>
    <col min="13321" max="13321" width="11.85546875" style="27" customWidth="1"/>
    <col min="13322" max="13322" width="3.5703125" style="27" customWidth="1"/>
    <col min="13323" max="13323" width="10.5703125" style="27" customWidth="1"/>
    <col min="13324" max="13324" width="17.7109375" style="27" customWidth="1"/>
    <col min="13325" max="13325" width="17" style="27" customWidth="1"/>
    <col min="13326" max="13326" width="17.85546875" style="27" customWidth="1"/>
    <col min="13327" max="13327" width="19.140625" style="27" customWidth="1"/>
    <col min="13328" max="13328" width="4.42578125" style="27" customWidth="1"/>
    <col min="13329" max="13329" width="17.5703125" style="27" customWidth="1"/>
    <col min="13330" max="13330" width="23" style="27" customWidth="1"/>
    <col min="13331" max="13331" width="10.42578125" style="27" customWidth="1"/>
    <col min="13332" max="13332" width="20.5703125" style="27" customWidth="1"/>
    <col min="13333" max="13333" width="11.85546875" style="27" customWidth="1"/>
    <col min="13334" max="13575" width="9.140625" style="27"/>
    <col min="13576" max="13576" width="14.85546875" style="27" customWidth="1"/>
    <col min="13577" max="13577" width="11.85546875" style="27" customWidth="1"/>
    <col min="13578" max="13578" width="3.5703125" style="27" customWidth="1"/>
    <col min="13579" max="13579" width="10.5703125" style="27" customWidth="1"/>
    <col min="13580" max="13580" width="17.7109375" style="27" customWidth="1"/>
    <col min="13581" max="13581" width="17" style="27" customWidth="1"/>
    <col min="13582" max="13582" width="17.85546875" style="27" customWidth="1"/>
    <col min="13583" max="13583" width="19.140625" style="27" customWidth="1"/>
    <col min="13584" max="13584" width="4.42578125" style="27" customWidth="1"/>
    <col min="13585" max="13585" width="17.5703125" style="27" customWidth="1"/>
    <col min="13586" max="13586" width="23" style="27" customWidth="1"/>
    <col min="13587" max="13587" width="10.42578125" style="27" customWidth="1"/>
    <col min="13588" max="13588" width="20.5703125" style="27" customWidth="1"/>
    <col min="13589" max="13589" width="11.85546875" style="27" customWidth="1"/>
    <col min="13590" max="13831" width="9.140625" style="27"/>
    <col min="13832" max="13832" width="14.85546875" style="27" customWidth="1"/>
    <col min="13833" max="13833" width="11.85546875" style="27" customWidth="1"/>
    <col min="13834" max="13834" width="3.5703125" style="27" customWidth="1"/>
    <col min="13835" max="13835" width="10.5703125" style="27" customWidth="1"/>
    <col min="13836" max="13836" width="17.7109375" style="27" customWidth="1"/>
    <col min="13837" max="13837" width="17" style="27" customWidth="1"/>
    <col min="13838" max="13838" width="17.85546875" style="27" customWidth="1"/>
    <col min="13839" max="13839" width="19.140625" style="27" customWidth="1"/>
    <col min="13840" max="13840" width="4.42578125" style="27" customWidth="1"/>
    <col min="13841" max="13841" width="17.5703125" style="27" customWidth="1"/>
    <col min="13842" max="13842" width="23" style="27" customWidth="1"/>
    <col min="13843" max="13843" width="10.42578125" style="27" customWidth="1"/>
    <col min="13844" max="13844" width="20.5703125" style="27" customWidth="1"/>
    <col min="13845" max="13845" width="11.85546875" style="27" customWidth="1"/>
    <col min="13846" max="14087" width="9.140625" style="27"/>
    <col min="14088" max="14088" width="14.85546875" style="27" customWidth="1"/>
    <col min="14089" max="14089" width="11.85546875" style="27" customWidth="1"/>
    <col min="14090" max="14090" width="3.5703125" style="27" customWidth="1"/>
    <col min="14091" max="14091" width="10.5703125" style="27" customWidth="1"/>
    <col min="14092" max="14092" width="17.7109375" style="27" customWidth="1"/>
    <col min="14093" max="14093" width="17" style="27" customWidth="1"/>
    <col min="14094" max="14094" width="17.85546875" style="27" customWidth="1"/>
    <col min="14095" max="14095" width="19.140625" style="27" customWidth="1"/>
    <col min="14096" max="14096" width="4.42578125" style="27" customWidth="1"/>
    <col min="14097" max="14097" width="17.5703125" style="27" customWidth="1"/>
    <col min="14098" max="14098" width="23" style="27" customWidth="1"/>
    <col min="14099" max="14099" width="10.42578125" style="27" customWidth="1"/>
    <col min="14100" max="14100" width="20.5703125" style="27" customWidth="1"/>
    <col min="14101" max="14101" width="11.85546875" style="27" customWidth="1"/>
    <col min="14102" max="14343" width="9.140625" style="27"/>
    <col min="14344" max="14344" width="14.85546875" style="27" customWidth="1"/>
    <col min="14345" max="14345" width="11.85546875" style="27" customWidth="1"/>
    <col min="14346" max="14346" width="3.5703125" style="27" customWidth="1"/>
    <col min="14347" max="14347" width="10.5703125" style="27" customWidth="1"/>
    <col min="14348" max="14348" width="17.7109375" style="27" customWidth="1"/>
    <col min="14349" max="14349" width="17" style="27" customWidth="1"/>
    <col min="14350" max="14350" width="17.85546875" style="27" customWidth="1"/>
    <col min="14351" max="14351" width="19.140625" style="27" customWidth="1"/>
    <col min="14352" max="14352" width="4.42578125" style="27" customWidth="1"/>
    <col min="14353" max="14353" width="17.5703125" style="27" customWidth="1"/>
    <col min="14354" max="14354" width="23" style="27" customWidth="1"/>
    <col min="14355" max="14355" width="10.42578125" style="27" customWidth="1"/>
    <col min="14356" max="14356" width="20.5703125" style="27" customWidth="1"/>
    <col min="14357" max="14357" width="11.85546875" style="27" customWidth="1"/>
    <col min="14358" max="14599" width="9.140625" style="27"/>
    <col min="14600" max="14600" width="14.85546875" style="27" customWidth="1"/>
    <col min="14601" max="14601" width="11.85546875" style="27" customWidth="1"/>
    <col min="14602" max="14602" width="3.5703125" style="27" customWidth="1"/>
    <col min="14603" max="14603" width="10.5703125" style="27" customWidth="1"/>
    <col min="14604" max="14604" width="17.7109375" style="27" customWidth="1"/>
    <col min="14605" max="14605" width="17" style="27" customWidth="1"/>
    <col min="14606" max="14606" width="17.85546875" style="27" customWidth="1"/>
    <col min="14607" max="14607" width="19.140625" style="27" customWidth="1"/>
    <col min="14608" max="14608" width="4.42578125" style="27" customWidth="1"/>
    <col min="14609" max="14609" width="17.5703125" style="27" customWidth="1"/>
    <col min="14610" max="14610" width="23" style="27" customWidth="1"/>
    <col min="14611" max="14611" width="10.42578125" style="27" customWidth="1"/>
    <col min="14612" max="14612" width="20.5703125" style="27" customWidth="1"/>
    <col min="14613" max="14613" width="11.85546875" style="27" customWidth="1"/>
    <col min="14614" max="14855" width="9.140625" style="27"/>
    <col min="14856" max="14856" width="14.85546875" style="27" customWidth="1"/>
    <col min="14857" max="14857" width="11.85546875" style="27" customWidth="1"/>
    <col min="14858" max="14858" width="3.5703125" style="27" customWidth="1"/>
    <col min="14859" max="14859" width="10.5703125" style="27" customWidth="1"/>
    <col min="14860" max="14860" width="17.7109375" style="27" customWidth="1"/>
    <col min="14861" max="14861" width="17" style="27" customWidth="1"/>
    <col min="14862" max="14862" width="17.85546875" style="27" customWidth="1"/>
    <col min="14863" max="14863" width="19.140625" style="27" customWidth="1"/>
    <col min="14864" max="14864" width="4.42578125" style="27" customWidth="1"/>
    <col min="14865" max="14865" width="17.5703125" style="27" customWidth="1"/>
    <col min="14866" max="14866" width="23" style="27" customWidth="1"/>
    <col min="14867" max="14867" width="10.42578125" style="27" customWidth="1"/>
    <col min="14868" max="14868" width="20.5703125" style="27" customWidth="1"/>
    <col min="14869" max="14869" width="11.85546875" style="27" customWidth="1"/>
    <col min="14870" max="15111" width="9.140625" style="27"/>
    <col min="15112" max="15112" width="14.85546875" style="27" customWidth="1"/>
    <col min="15113" max="15113" width="11.85546875" style="27" customWidth="1"/>
    <col min="15114" max="15114" width="3.5703125" style="27" customWidth="1"/>
    <col min="15115" max="15115" width="10.5703125" style="27" customWidth="1"/>
    <col min="15116" max="15116" width="17.7109375" style="27" customWidth="1"/>
    <col min="15117" max="15117" width="17" style="27" customWidth="1"/>
    <col min="15118" max="15118" width="17.85546875" style="27" customWidth="1"/>
    <col min="15119" max="15119" width="19.140625" style="27" customWidth="1"/>
    <col min="15120" max="15120" width="4.42578125" style="27" customWidth="1"/>
    <col min="15121" max="15121" width="17.5703125" style="27" customWidth="1"/>
    <col min="15122" max="15122" width="23" style="27" customWidth="1"/>
    <col min="15123" max="15123" width="10.42578125" style="27" customWidth="1"/>
    <col min="15124" max="15124" width="20.5703125" style="27" customWidth="1"/>
    <col min="15125" max="15125" width="11.85546875" style="27" customWidth="1"/>
    <col min="15126" max="15367" width="9.140625" style="27"/>
    <col min="15368" max="15368" width="14.85546875" style="27" customWidth="1"/>
    <col min="15369" max="15369" width="11.85546875" style="27" customWidth="1"/>
    <col min="15370" max="15370" width="3.5703125" style="27" customWidth="1"/>
    <col min="15371" max="15371" width="10.5703125" style="27" customWidth="1"/>
    <col min="15372" max="15372" width="17.7109375" style="27" customWidth="1"/>
    <col min="15373" max="15373" width="17" style="27" customWidth="1"/>
    <col min="15374" max="15374" width="17.85546875" style="27" customWidth="1"/>
    <col min="15375" max="15375" width="19.140625" style="27" customWidth="1"/>
    <col min="15376" max="15376" width="4.42578125" style="27" customWidth="1"/>
    <col min="15377" max="15377" width="17.5703125" style="27" customWidth="1"/>
    <col min="15378" max="15378" width="23" style="27" customWidth="1"/>
    <col min="15379" max="15379" width="10.42578125" style="27" customWidth="1"/>
    <col min="15380" max="15380" width="20.5703125" style="27" customWidth="1"/>
    <col min="15381" max="15381" width="11.85546875" style="27" customWidth="1"/>
    <col min="15382" max="15623" width="9.140625" style="27"/>
    <col min="15624" max="15624" width="14.85546875" style="27" customWidth="1"/>
    <col min="15625" max="15625" width="11.85546875" style="27" customWidth="1"/>
    <col min="15626" max="15626" width="3.5703125" style="27" customWidth="1"/>
    <col min="15627" max="15627" width="10.5703125" style="27" customWidth="1"/>
    <col min="15628" max="15628" width="17.7109375" style="27" customWidth="1"/>
    <col min="15629" max="15629" width="17" style="27" customWidth="1"/>
    <col min="15630" max="15630" width="17.85546875" style="27" customWidth="1"/>
    <col min="15631" max="15631" width="19.140625" style="27" customWidth="1"/>
    <col min="15632" max="15632" width="4.42578125" style="27" customWidth="1"/>
    <col min="15633" max="15633" width="17.5703125" style="27" customWidth="1"/>
    <col min="15634" max="15634" width="23" style="27" customWidth="1"/>
    <col min="15635" max="15635" width="10.42578125" style="27" customWidth="1"/>
    <col min="15636" max="15636" width="20.5703125" style="27" customWidth="1"/>
    <col min="15637" max="15637" width="11.85546875" style="27" customWidth="1"/>
    <col min="15638" max="15879" width="9.140625" style="27"/>
    <col min="15880" max="15880" width="14.85546875" style="27" customWidth="1"/>
    <col min="15881" max="15881" width="11.85546875" style="27" customWidth="1"/>
    <col min="15882" max="15882" width="3.5703125" style="27" customWidth="1"/>
    <col min="15883" max="15883" width="10.5703125" style="27" customWidth="1"/>
    <col min="15884" max="15884" width="17.7109375" style="27" customWidth="1"/>
    <col min="15885" max="15885" width="17" style="27" customWidth="1"/>
    <col min="15886" max="15886" width="17.85546875" style="27" customWidth="1"/>
    <col min="15887" max="15887" width="19.140625" style="27" customWidth="1"/>
    <col min="15888" max="15888" width="4.42578125" style="27" customWidth="1"/>
    <col min="15889" max="15889" width="17.5703125" style="27" customWidth="1"/>
    <col min="15890" max="15890" width="23" style="27" customWidth="1"/>
    <col min="15891" max="15891" width="10.42578125" style="27" customWidth="1"/>
    <col min="15892" max="15892" width="20.5703125" style="27" customWidth="1"/>
    <col min="15893" max="15893" width="11.85546875" style="27" customWidth="1"/>
    <col min="15894" max="16135" width="9.140625" style="27"/>
    <col min="16136" max="16136" width="14.85546875" style="27" customWidth="1"/>
    <col min="16137" max="16137" width="11.85546875" style="27" customWidth="1"/>
    <col min="16138" max="16138" width="3.5703125" style="27" customWidth="1"/>
    <col min="16139" max="16139" width="10.5703125" style="27" customWidth="1"/>
    <col min="16140" max="16140" width="17.7109375" style="27" customWidth="1"/>
    <col min="16141" max="16141" width="17" style="27" customWidth="1"/>
    <col min="16142" max="16142" width="17.85546875" style="27" customWidth="1"/>
    <col min="16143" max="16143" width="19.140625" style="27" customWidth="1"/>
    <col min="16144" max="16144" width="4.42578125" style="27" customWidth="1"/>
    <col min="16145" max="16145" width="17.5703125" style="27" customWidth="1"/>
    <col min="16146" max="16146" width="23" style="27" customWidth="1"/>
    <col min="16147" max="16147" width="10.42578125" style="27" customWidth="1"/>
    <col min="16148" max="16148" width="20.5703125" style="27" customWidth="1"/>
    <col min="16149" max="16149" width="11.85546875" style="27" customWidth="1"/>
    <col min="16150" max="16384" width="9.140625" style="27"/>
  </cols>
  <sheetData>
    <row r="1" spans="1:21" s="4" customFormat="1" ht="29.2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2"/>
      <c r="T1" s="3"/>
      <c r="U1" s="3"/>
    </row>
    <row r="2" spans="1:21" s="4" customFormat="1" ht="18" customHeight="1" x14ac:dyDescent="0.25">
      <c r="A2" s="5"/>
      <c r="B2" s="5"/>
      <c r="C2" s="5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s="4" customFormat="1" ht="30" customHeight="1" x14ac:dyDescent="0.25">
      <c r="J3" s="6" t="s">
        <v>1</v>
      </c>
      <c r="K3" s="7" t="s">
        <v>2</v>
      </c>
      <c r="L3" s="8" t="s">
        <v>3</v>
      </c>
      <c r="M3" s="9" t="s">
        <v>4</v>
      </c>
      <c r="N3" s="10" t="s">
        <v>5</v>
      </c>
      <c r="O3" s="9" t="s">
        <v>6</v>
      </c>
      <c r="P3" s="10" t="s">
        <v>7</v>
      </c>
      <c r="Q3" s="10" t="s">
        <v>8</v>
      </c>
      <c r="R3" s="28" t="s">
        <v>9</v>
      </c>
      <c r="S3" s="11" t="s">
        <v>10</v>
      </c>
    </row>
    <row r="4" spans="1:21" s="4" customFormat="1" ht="20.100000000000001" customHeight="1" x14ac:dyDescent="0.25">
      <c r="J4" s="12" t="s">
        <v>11</v>
      </c>
      <c r="K4" s="13">
        <f>H6*L4</f>
        <v>305.00162000000006</v>
      </c>
      <c r="L4" s="13">
        <v>1.0900000000000001</v>
      </c>
      <c r="M4" s="14"/>
      <c r="N4" s="13">
        <v>175</v>
      </c>
      <c r="O4" s="14"/>
      <c r="P4" s="13">
        <v>300</v>
      </c>
      <c r="Q4" s="13">
        <v>50</v>
      </c>
      <c r="R4" s="29">
        <f>M4*N4+K4</f>
        <v>305.00162000000006</v>
      </c>
      <c r="S4" s="30">
        <f>O4*P4+Q4*O4+K4</f>
        <v>305.00162000000006</v>
      </c>
    </row>
    <row r="5" spans="1:21" s="4" customFormat="1" ht="20.100000000000001" customHeight="1" x14ac:dyDescent="0.25">
      <c r="A5" s="8" t="s">
        <v>12</v>
      </c>
      <c r="B5" s="15" t="s">
        <v>13</v>
      </c>
      <c r="C5" s="15"/>
      <c r="D5" s="15"/>
      <c r="E5" s="8" t="s">
        <v>14</v>
      </c>
      <c r="F5" s="8" t="s">
        <v>15</v>
      </c>
      <c r="G5" s="8" t="s">
        <v>16</v>
      </c>
      <c r="H5" s="16" t="s">
        <v>17</v>
      </c>
      <c r="I5" s="17"/>
      <c r="J5" s="12" t="s">
        <v>18</v>
      </c>
      <c r="K5" s="13">
        <f>H6*L5</f>
        <v>305.00162000000006</v>
      </c>
      <c r="L5" s="13">
        <v>1.0900000000000001</v>
      </c>
      <c r="M5" s="14"/>
      <c r="N5" s="13">
        <v>175</v>
      </c>
      <c r="O5" s="14"/>
      <c r="P5" s="13">
        <v>300</v>
      </c>
      <c r="Q5" s="13">
        <v>50</v>
      </c>
      <c r="R5" s="29">
        <f t="shared" ref="R5:R10" si="0">M5*N5+K5</f>
        <v>305.00162000000006</v>
      </c>
      <c r="S5" s="30">
        <f t="shared" ref="S5:S10" si="1">O5*P5+Q5*O5+K5</f>
        <v>305.00162000000006</v>
      </c>
    </row>
    <row r="6" spans="1:21" s="4" customFormat="1" ht="20.100000000000001" customHeight="1" x14ac:dyDescent="0.25">
      <c r="A6" s="18" t="s">
        <v>19</v>
      </c>
      <c r="B6" s="19">
        <v>17.5</v>
      </c>
      <c r="C6" s="20" t="s">
        <v>20</v>
      </c>
      <c r="D6" s="19">
        <v>23</v>
      </c>
      <c r="E6" s="21">
        <f>D6*B6</f>
        <v>402.5</v>
      </c>
      <c r="F6" s="19">
        <v>88000</v>
      </c>
      <c r="G6" s="21">
        <v>7.9000000000000006E-6</v>
      </c>
      <c r="H6" s="22">
        <f>E6*G6*F6</f>
        <v>279.81800000000004</v>
      </c>
      <c r="I6" s="17"/>
      <c r="J6" s="12" t="s">
        <v>21</v>
      </c>
      <c r="K6" s="13">
        <f>L6*H6</f>
        <v>305.00162000000006</v>
      </c>
      <c r="L6" s="13">
        <v>1.0900000000000001</v>
      </c>
      <c r="M6" s="14"/>
      <c r="N6" s="13">
        <v>175</v>
      </c>
      <c r="O6" s="14"/>
      <c r="P6" s="13">
        <v>300</v>
      </c>
      <c r="Q6" s="13">
        <v>50</v>
      </c>
      <c r="R6" s="29">
        <f t="shared" si="0"/>
        <v>305.00162000000006</v>
      </c>
      <c r="S6" s="30">
        <f t="shared" si="1"/>
        <v>305.00162000000006</v>
      </c>
    </row>
    <row r="7" spans="1:21" s="4" customFormat="1" ht="20.100000000000001" customHeight="1" x14ac:dyDescent="0.25">
      <c r="A7" s="18" t="s">
        <v>22</v>
      </c>
      <c r="B7" s="19">
        <v>17.5</v>
      </c>
      <c r="C7" s="20" t="s">
        <v>20</v>
      </c>
      <c r="D7" s="19">
        <v>23</v>
      </c>
      <c r="E7" s="21">
        <f>D7*B7</f>
        <v>402.5</v>
      </c>
      <c r="F7" s="19">
        <v>88000</v>
      </c>
      <c r="G7" s="21">
        <v>9.4E-7</v>
      </c>
      <c r="H7" s="22">
        <f>E7*G7*F7</f>
        <v>33.294800000000002</v>
      </c>
      <c r="I7" s="17"/>
      <c r="J7" s="12" t="s">
        <v>23</v>
      </c>
      <c r="K7" s="13">
        <f>L7*H8</f>
        <v>1563.28125</v>
      </c>
      <c r="L7" s="13">
        <v>6.25</v>
      </c>
      <c r="M7" s="14"/>
      <c r="N7" s="13">
        <v>175</v>
      </c>
      <c r="O7" s="14"/>
      <c r="P7" s="13">
        <v>300</v>
      </c>
      <c r="Q7" s="13">
        <v>50</v>
      </c>
      <c r="R7" s="29">
        <f t="shared" si="0"/>
        <v>1563.28125</v>
      </c>
      <c r="S7" s="30">
        <f t="shared" si="1"/>
        <v>1563.28125</v>
      </c>
    </row>
    <row r="8" spans="1:21" s="4" customFormat="1" ht="20.100000000000001" customHeight="1" x14ac:dyDescent="0.25">
      <c r="A8" s="18" t="s">
        <v>24</v>
      </c>
      <c r="B8" s="19">
        <v>23</v>
      </c>
      <c r="C8" s="20" t="s">
        <v>20</v>
      </c>
      <c r="D8" s="19">
        <v>29</v>
      </c>
      <c r="E8" s="21">
        <f>D8*B8</f>
        <v>667</v>
      </c>
      <c r="F8" s="19">
        <v>50000</v>
      </c>
      <c r="G8" s="21">
        <v>7.5000000000000002E-6</v>
      </c>
      <c r="H8" s="21">
        <f>E8*G8*F8</f>
        <v>250.125</v>
      </c>
      <c r="I8" s="23"/>
      <c r="J8" s="12" t="s">
        <v>25</v>
      </c>
      <c r="K8" s="13">
        <f>H6*L8</f>
        <v>1762.8534000000002</v>
      </c>
      <c r="L8" s="13">
        <v>6.3</v>
      </c>
      <c r="M8" s="14"/>
      <c r="N8" s="13">
        <v>175</v>
      </c>
      <c r="O8" s="14"/>
      <c r="P8" s="13">
        <v>300</v>
      </c>
      <c r="Q8" s="13">
        <v>50</v>
      </c>
      <c r="R8" s="29">
        <f t="shared" si="0"/>
        <v>1762.8534000000002</v>
      </c>
      <c r="S8" s="30">
        <f t="shared" si="1"/>
        <v>1762.8534000000002</v>
      </c>
      <c r="T8" s="24"/>
    </row>
    <row r="9" spans="1:21" s="4" customFormat="1" ht="20.100000000000001" customHeight="1" x14ac:dyDescent="0.25">
      <c r="J9" s="12" t="s">
        <v>26</v>
      </c>
      <c r="K9" s="13">
        <f>L9*H6</f>
        <v>3147.9525000000003</v>
      </c>
      <c r="L9" s="13">
        <v>11.25</v>
      </c>
      <c r="M9" s="14"/>
      <c r="N9" s="13">
        <v>175</v>
      </c>
      <c r="O9" s="14"/>
      <c r="P9" s="13">
        <v>300</v>
      </c>
      <c r="Q9" s="13">
        <v>50</v>
      </c>
      <c r="R9" s="29">
        <f t="shared" si="0"/>
        <v>3147.9525000000003</v>
      </c>
      <c r="S9" s="30">
        <f t="shared" si="1"/>
        <v>3147.9525000000003</v>
      </c>
    </row>
    <row r="10" spans="1:21" s="4" customFormat="1" ht="20.100000000000001" customHeight="1" x14ac:dyDescent="0.25">
      <c r="J10" s="12" t="s">
        <v>22</v>
      </c>
      <c r="K10" s="13">
        <f>L10*H7</f>
        <v>842.35844000000009</v>
      </c>
      <c r="L10" s="13">
        <v>25.3</v>
      </c>
      <c r="M10" s="14"/>
      <c r="N10" s="13">
        <v>175</v>
      </c>
      <c r="O10" s="14"/>
      <c r="P10" s="13">
        <v>300</v>
      </c>
      <c r="Q10" s="13">
        <v>50</v>
      </c>
      <c r="R10" s="29">
        <f t="shared" si="0"/>
        <v>842.35844000000009</v>
      </c>
      <c r="S10" s="30">
        <f t="shared" si="1"/>
        <v>842.35844000000009</v>
      </c>
    </row>
    <row r="11" spans="1:21" s="4" customFormat="1" ht="20.100000000000001" customHeight="1" x14ac:dyDescent="0.25">
      <c r="K11" s="25"/>
    </row>
    <row r="12" spans="1:21" s="4" customFormat="1" ht="20.100000000000001" customHeight="1" x14ac:dyDescent="0.25"/>
    <row r="13" spans="1:21" s="4" customFormat="1" ht="20.100000000000001" customHeight="1" x14ac:dyDescent="0.25"/>
    <row r="14" spans="1:21" s="4" customFormat="1" ht="20.100000000000001" customHeight="1" x14ac:dyDescent="0.25"/>
    <row r="18" spans="10:10" x14ac:dyDescent="0.2">
      <c r="J18" s="26"/>
    </row>
  </sheetData>
  <mergeCells count="2">
    <mergeCell ref="A1:L1"/>
    <mergeCell ref="B5:D5"/>
  </mergeCells>
  <pageMargins left="0.75" right="0.75" top="1" bottom="1" header="0.5" footer="0.5"/>
  <pageSetup scale="46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NEW AQ Calculator</vt:lpstr>
      <vt:lpstr>'NEW AQ Calculator'!Print_Area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Darrin Blackburn</dc:creator>
  <cp:lastModifiedBy>Darrin Blackburn</cp:lastModifiedBy>
  <dcterms:created xsi:type="dcterms:W3CDTF">2024-06-20T16:19:13Z</dcterms:created>
  <dcterms:modified xsi:type="dcterms:W3CDTF">2024-06-20T16:20:32Z</dcterms:modified>
</cp:coreProperties>
</file>